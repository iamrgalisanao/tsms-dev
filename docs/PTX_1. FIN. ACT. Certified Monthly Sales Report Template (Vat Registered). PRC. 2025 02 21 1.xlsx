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dmantilla\Downloads\CMSR Templates\"/>
    </mc:Choice>
  </mc:AlternateContent>
  <xr:revisionPtr revIDLastSave="0" documentId="13_ncr:1_{4DC888F4-B063-4DA1-B0AB-F3C651ED03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REPORT FORM" sheetId="1" r:id="rId1"/>
    <sheet name="SALES REPORT FORM (3)" sheetId="6" r:id="rId2"/>
    <sheet name="SALES REPORT FORM (2)" sheetId="5" r:id="rId3"/>
    <sheet name="SALES REPORT FORM (4)" sheetId="7" r:id="rId4"/>
    <sheet name="Sample" sheetId="2" state="hidden" r:id="rId5"/>
    <sheet name="Sample (2)" sheetId="3" state="hidden" r:id="rId6"/>
    <sheet name="Sheet1" sheetId="4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7" l="1"/>
  <c r="N31" i="7"/>
  <c r="M21" i="7"/>
  <c r="L21" i="7"/>
  <c r="N30" i="7" s="1"/>
  <c r="K21" i="7"/>
  <c r="N40" i="7" s="1"/>
  <c r="J21" i="7"/>
  <c r="N26" i="7" s="1"/>
  <c r="I21" i="7"/>
  <c r="H21" i="7"/>
  <c r="N28" i="7" s="1"/>
  <c r="G21" i="7"/>
  <c r="N25" i="7" s="1"/>
  <c r="F21" i="7"/>
  <c r="N39" i="7" s="1"/>
  <c r="C21" i="7"/>
  <c r="N38" i="7" s="1"/>
  <c r="E19" i="7"/>
  <c r="E21" i="7" s="1"/>
  <c r="N23" i="7" s="1"/>
  <c r="B19" i="7"/>
  <c r="N18" i="7"/>
  <c r="D18" i="7"/>
  <c r="N17" i="7"/>
  <c r="D17" i="7"/>
  <c r="E19" i="5"/>
  <c r="E21" i="5" s="1"/>
  <c r="N23" i="5" s="1"/>
  <c r="B19" i="5"/>
  <c r="D19" i="5" s="1"/>
  <c r="N19" i="5" s="1"/>
  <c r="N31" i="6"/>
  <c r="N23" i="6"/>
  <c r="M21" i="6"/>
  <c r="N41" i="6" s="1"/>
  <c r="L21" i="6"/>
  <c r="N30" i="6" s="1"/>
  <c r="K21" i="6"/>
  <c r="N40" i="6" s="1"/>
  <c r="J21" i="6"/>
  <c r="N26" i="6" s="1"/>
  <c r="I21" i="6"/>
  <c r="G21" i="6"/>
  <c r="N25" i="6" s="1"/>
  <c r="F21" i="6"/>
  <c r="N39" i="6" s="1"/>
  <c r="E21" i="6"/>
  <c r="B21" i="6"/>
  <c r="N19" i="6"/>
  <c r="D18" i="6"/>
  <c r="N18" i="6" s="1"/>
  <c r="H21" i="6"/>
  <c r="N28" i="6" s="1"/>
  <c r="D17" i="6"/>
  <c r="D21" i="6" s="1"/>
  <c r="N17" i="6"/>
  <c r="N21" i="6" s="1"/>
  <c r="N40" i="5"/>
  <c r="M21" i="5"/>
  <c r="N31" i="5" s="1"/>
  <c r="L21" i="5"/>
  <c r="N30" i="5" s="1"/>
  <c r="K21" i="5"/>
  <c r="N29" i="5" s="1"/>
  <c r="J21" i="5"/>
  <c r="N26" i="5" s="1"/>
  <c r="I21" i="5"/>
  <c r="G21" i="5"/>
  <c r="N25" i="5" s="1"/>
  <c r="F21" i="5"/>
  <c r="N39" i="5" s="1"/>
  <c r="B21" i="5"/>
  <c r="D18" i="5"/>
  <c r="N18" i="5" s="1"/>
  <c r="N17" i="5"/>
  <c r="D17" i="5"/>
  <c r="C21" i="5"/>
  <c r="C17" i="1"/>
  <c r="H17" i="1"/>
  <c r="D18" i="1"/>
  <c r="N18" i="1" s="1"/>
  <c r="N19" i="1"/>
  <c r="D17" i="1"/>
  <c r="N17" i="2"/>
  <c r="C9" i="4"/>
  <c r="C8" i="4"/>
  <c r="C10" i="4" s="1"/>
  <c r="C7" i="4"/>
  <c r="B10" i="4"/>
  <c r="B8" i="4"/>
  <c r="B9" i="4"/>
  <c r="B7" i="4"/>
  <c r="N17" i="3"/>
  <c r="M49" i="3"/>
  <c r="N66" i="3" s="1"/>
  <c r="L49" i="3"/>
  <c r="N56" i="3" s="1"/>
  <c r="K49" i="3"/>
  <c r="N55" i="3" s="1"/>
  <c r="J49" i="3"/>
  <c r="N52" i="3" s="1"/>
  <c r="I49" i="3"/>
  <c r="H49" i="3"/>
  <c r="N54" i="3" s="1"/>
  <c r="G49" i="3"/>
  <c r="F49" i="3"/>
  <c r="E49" i="3"/>
  <c r="N51" i="3" s="1"/>
  <c r="D49" i="3"/>
  <c r="C49" i="3"/>
  <c r="N64" i="3" s="1"/>
  <c r="B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C49" i="2"/>
  <c r="B49" i="2"/>
  <c r="D49" i="2"/>
  <c r="H49" i="2"/>
  <c r="D21" i="7" l="1"/>
  <c r="N19" i="7"/>
  <c r="N21" i="7" s="1"/>
  <c r="N33" i="7" s="1"/>
  <c r="N24" i="7"/>
  <c r="B21" i="7"/>
  <c r="D19" i="7"/>
  <c r="N27" i="7"/>
  <c r="N29" i="7"/>
  <c r="N24" i="6"/>
  <c r="C21" i="6"/>
  <c r="N29" i="6"/>
  <c r="D21" i="5"/>
  <c r="N21" i="5"/>
  <c r="N38" i="5"/>
  <c r="N27" i="5"/>
  <c r="H21" i="5"/>
  <c r="N28" i="5" s="1"/>
  <c r="N24" i="5"/>
  <c r="N41" i="5"/>
  <c r="N65" i="3"/>
  <c r="N49" i="3"/>
  <c r="N53" i="3"/>
  <c r="N57" i="3"/>
  <c r="E49" i="2"/>
  <c r="N51" i="2" s="1"/>
  <c r="K49" i="2"/>
  <c r="N55" i="2"/>
  <c r="N65" i="2"/>
  <c r="N17" i="1"/>
  <c r="H21" i="1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J49" i="2"/>
  <c r="N52" i="2" s="1"/>
  <c r="N53" i="2"/>
  <c r="I49" i="2"/>
  <c r="N54" i="2" s="1"/>
  <c r="L49" i="2"/>
  <c r="N56" i="2" s="1"/>
  <c r="M49" i="2"/>
  <c r="N57" i="2"/>
  <c r="N64" i="2"/>
  <c r="N66" i="2"/>
  <c r="G49" i="2"/>
  <c r="F49" i="2"/>
  <c r="E21" i="1"/>
  <c r="N23" i="1" s="1"/>
  <c r="J21" i="1"/>
  <c r="N26" i="1" s="1"/>
  <c r="C21" i="1"/>
  <c r="I21" i="1"/>
  <c r="K21" i="1"/>
  <c r="L21" i="1"/>
  <c r="N30" i="1" s="1"/>
  <c r="M21" i="1"/>
  <c r="G21" i="1"/>
  <c r="N25" i="1" s="1"/>
  <c r="F21" i="1"/>
  <c r="D21" i="1"/>
  <c r="B21" i="1"/>
  <c r="N34" i="7" l="1"/>
  <c r="N36" i="7" s="1"/>
  <c r="N43" i="7" s="1"/>
  <c r="N38" i="6"/>
  <c r="N27" i="6"/>
  <c r="N33" i="6" s="1"/>
  <c r="N33" i="5"/>
  <c r="N34" i="5" s="1"/>
  <c r="N36" i="5" s="1"/>
  <c r="N43" i="5" s="1"/>
  <c r="N28" i="1"/>
  <c r="N24" i="1"/>
  <c r="N39" i="1"/>
  <c r="N31" i="1"/>
  <c r="N41" i="1"/>
  <c r="N29" i="1"/>
  <c r="N40" i="1"/>
  <c r="N38" i="1"/>
  <c r="N27" i="1"/>
  <c r="N21" i="1"/>
  <c r="N59" i="3"/>
  <c r="N60" i="3" s="1"/>
  <c r="N62" i="3"/>
  <c r="N68" i="3" s="1"/>
  <c r="N49" i="2"/>
  <c r="N59" i="2" s="1"/>
  <c r="N34" i="6" l="1"/>
  <c r="N36" i="6" s="1"/>
  <c r="N43" i="6" s="1"/>
  <c r="N33" i="1"/>
  <c r="N60" i="2"/>
  <c r="N62" i="2" s="1"/>
  <c r="N68" i="2" s="1"/>
  <c r="N34" i="1" l="1"/>
  <c r="N36" i="1" s="1"/>
  <c r="N43" i="1" s="1"/>
</calcChain>
</file>

<file path=xl/sharedStrings.xml><?xml version="1.0" encoding="utf-8"?>
<sst xmlns="http://schemas.openxmlformats.org/spreadsheetml/2006/main" count="326" uniqueCount="55">
  <si>
    <t>Tradename / Branch</t>
  </si>
  <si>
    <t>CERTIFIED MONTHLY SALES REPORT</t>
  </si>
  <si>
    <t>Date</t>
  </si>
  <si>
    <t>Net Sales</t>
  </si>
  <si>
    <t>Sales Discount</t>
  </si>
  <si>
    <t>Other Tax</t>
  </si>
  <si>
    <t>Service Charge</t>
  </si>
  <si>
    <t>Gross Sales</t>
  </si>
  <si>
    <t>Vatable Trans.</t>
  </si>
  <si>
    <t>SC Vat Exempt Trans.</t>
  </si>
  <si>
    <t>Promo</t>
  </si>
  <si>
    <t>Employee's Discount</t>
  </si>
  <si>
    <t>Senior Citizen's</t>
  </si>
  <si>
    <t>PWD Disc.</t>
  </si>
  <si>
    <t>VIP Cards if any</t>
  </si>
  <si>
    <t>Local Tax</t>
  </si>
  <si>
    <t>Distributed to Employees</t>
  </si>
  <si>
    <t>Retained by Management</t>
  </si>
  <si>
    <t>(NET OF DISC. SERVICE CHARGE AND LOCAL TAX)</t>
  </si>
  <si>
    <t>With Approval</t>
  </si>
  <si>
    <t>Without Approval</t>
  </si>
  <si>
    <t>Total</t>
  </si>
  <si>
    <t>Less:</t>
  </si>
  <si>
    <t>Promo Discounts With Approval</t>
  </si>
  <si>
    <t>Approved VIP Cards</t>
  </si>
  <si>
    <t>SC Vat Exempt Transactions</t>
  </si>
  <si>
    <t>Senior Citizen/PWD Discounts</t>
  </si>
  <si>
    <t>Service Charge Distributed to Employees</t>
  </si>
  <si>
    <t>Service Charge Retained by Management</t>
  </si>
  <si>
    <t>Less 12% VAT</t>
  </si>
  <si>
    <t>Add:</t>
  </si>
  <si>
    <t xml:space="preserve">                           Net Sales Subject to Percentage rent</t>
  </si>
  <si>
    <t>Prepared by:</t>
  </si>
  <si>
    <t>Certified Correct by:</t>
  </si>
  <si>
    <t>(Tenant Name)</t>
  </si>
  <si>
    <t>Signature over Printed Name</t>
  </si>
  <si>
    <t>SUPERVISOR/OWNER</t>
  </si>
  <si>
    <t>(Position)</t>
  </si>
  <si>
    <t>For the month of __________________, 2023</t>
  </si>
  <si>
    <t>Employee's Meal</t>
  </si>
  <si>
    <t>Total Sales</t>
  </si>
  <si>
    <t>Void Amount</t>
  </si>
  <si>
    <t>Non Taxable Sales</t>
  </si>
  <si>
    <t>Senior Citizen Discount</t>
  </si>
  <si>
    <t>Other Discounts</t>
  </si>
  <si>
    <t>Vat</t>
  </si>
  <si>
    <t>Net of Vat</t>
  </si>
  <si>
    <t>Value Added Tax (VAT)</t>
  </si>
  <si>
    <t>Promo Discounts Without Approval</t>
  </si>
  <si>
    <t>Employee's discount</t>
  </si>
  <si>
    <t>CHICK N' JUICY / GOLDEN ENTRÉE FOOD SERVICES, INC.</t>
  </si>
  <si>
    <t>For the month of JULY 2025</t>
  </si>
  <si>
    <t>si_no 1</t>
  </si>
  <si>
    <t>si_no 2</t>
  </si>
  <si>
    <t>si_no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</si>
</sst>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 val="double"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1" applyFont="1"/>
    <xf numFmtId="164" fontId="0" fillId="0" borderId="1" xfId="1" applyFont="1" applyBorder="1"/>
    <xf numFmtId="164" fontId="8" fillId="0" borderId="2" xfId="1" applyFont="1" applyBorder="1"/>
    <xf numFmtId="164" fontId="0" fillId="0" borderId="0" xfId="1" applyFont="1" applyAlignment="1">
      <alignment horizontal="right"/>
    </xf>
    <xf numFmtId="164" fontId="0" fillId="0" borderId="0" xfId="1" applyFont="1" applyAlignment="1">
      <alignment horizontal="left"/>
    </xf>
    <xf numFmtId="164" fontId="4" fillId="0" borderId="1" xfId="1" applyFont="1" applyBorder="1"/>
    <xf numFmtId="164" fontId="0" fillId="0" borderId="2" xfId="1" applyFont="1" applyBorder="1"/>
    <xf numFmtId="164" fontId="0" fillId="0" borderId="2" xfId="0" applyNumberFormat="1" applyBorder="1"/>
    <xf numFmtId="164" fontId="4" fillId="0" borderId="0" xfId="1" applyFont="1" applyAlignment="1"/>
    <xf numFmtId="164" fontId="0" fillId="0" borderId="0" xfId="1" applyFont="1" applyAlignment="1"/>
    <xf numFmtId="164" fontId="0" fillId="0" borderId="0" xfId="1" applyFont="1" applyBorder="1"/>
    <xf numFmtId="164" fontId="0" fillId="0" borderId="0" xfId="1" applyFont="1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 applyAlignment="1"/>
    <xf numFmtId="164" fontId="0" fillId="0" borderId="3" xfId="1" applyFont="1" applyBorder="1"/>
    <xf numFmtId="164" fontId="4" fillId="0" borderId="2" xfId="1" applyFont="1" applyBorder="1"/>
    <xf numFmtId="164" fontId="0" fillId="0" borderId="1" xfId="1" applyFont="1" applyBorder="1" applyAlignment="1">
      <alignment horizontal="center"/>
    </xf>
    <xf numFmtId="0" fontId="0" fillId="0" borderId="1" xfId="0" applyBorder="1"/>
    <xf numFmtId="164" fontId="5" fillId="0" borderId="1" xfId="1" applyFont="1" applyBorder="1" applyAlignment="1">
      <alignment horizontal="center" vertical="center" wrapText="1"/>
    </xf>
    <xf numFmtId="164" fontId="6" fillId="0" borderId="1" xfId="1" applyFont="1" applyBorder="1" applyAlignment="1">
      <alignment horizontal="center" vertical="top" wrapText="1"/>
    </xf>
    <xf numFmtId="164" fontId="0" fillId="0" borderId="0" xfId="0" applyNumberFormat="1"/>
    <xf numFmtId="43" fontId="0" fillId="0" borderId="0" xfId="0" applyNumberFormat="1"/>
    <xf numFmtId="0" fontId="0" fillId="0" borderId="0" xfId="0" applyAlignment="1">
      <alignment horizontal="center"/>
    </xf>
    <xf numFmtId="164" fontId="7" fillId="0" borderId="1" xfId="1" applyFont="1" applyBorder="1"/>
    <xf numFmtId="164" fontId="8" fillId="0" borderId="0" xfId="1" applyFont="1" applyBorder="1"/>
    <xf numFmtId="0" fontId="12" fillId="0" borderId="0" xfId="0" applyFont="1"/>
    <xf numFmtId="0" fontId="14" fillId="0" borderId="0" xfId="0" applyFont="1"/>
    <xf numFmtId="164" fontId="12" fillId="0" borderId="0" xfId="1" applyFont="1"/>
    <xf numFmtId="164" fontId="14" fillId="0" borderId="0" xfId="1" applyFont="1"/>
    <xf numFmtId="0" fontId="4" fillId="0" borderId="0" xfId="0" applyFont="1" applyAlignment="1">
      <alignment horizontal="center"/>
    </xf>
    <xf numFmtId="164" fontId="4" fillId="0" borderId="0" xfId="1" applyFont="1" applyBorder="1"/>
    <xf numFmtId="164" fontId="2" fillId="0" borderId="0" xfId="1" applyFont="1" applyBorder="1"/>
    <xf numFmtId="164" fontId="15" fillId="0" borderId="0" xfId="1" applyFont="1" applyBorder="1"/>
    <xf numFmtId="164" fontId="3" fillId="0" borderId="1" xfId="1" applyFont="1" applyBorder="1"/>
    <xf numFmtId="0" fontId="16" fillId="0" borderId="0" xfId="0" applyFont="1"/>
    <xf numFmtId="164" fontId="16" fillId="0" borderId="0" xfId="1" applyFont="1"/>
    <xf numFmtId="43" fontId="16" fillId="0" borderId="0" xfId="0" applyNumberFormat="1" applyFont="1"/>
    <xf numFmtId="14" fontId="1" fillId="0" borderId="1" xfId="0" applyNumberFormat="1" applyFont="1" applyBorder="1" applyAlignment="1">
      <alignment horizontal="center"/>
    </xf>
    <xf numFmtId="164" fontId="11" fillId="0" borderId="1" xfId="1" applyFont="1" applyBorder="1"/>
    <xf numFmtId="164" fontId="17" fillId="0" borderId="1" xfId="1" applyFont="1" applyBorder="1"/>
    <xf numFmtId="164" fontId="0" fillId="0" borderId="1" xfId="1" applyFont="1" applyBorder="1" applyAlignment="1">
      <alignment horizontal="center" vertical="top" wrapText="1"/>
    </xf>
    <xf numFmtId="164" fontId="4" fillId="0" borderId="1" xfId="1" applyFont="1" applyBorder="1" applyAlignment="1">
      <alignment horizontal="center" vertical="top" wrapText="1"/>
    </xf>
    <xf numFmtId="164" fontId="3" fillId="0" borderId="0" xfId="1" applyFont="1" applyBorder="1" applyAlignment="1">
      <alignment horizontal="center"/>
    </xf>
    <xf numFmtId="164" fontId="0" fillId="0" borderId="0" xfId="1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164" fontId="2" fillId="0" borderId="1" xfId="1" applyFont="1" applyBorder="1" applyAlignment="1">
      <alignment horizontal="center" vertical="top" wrapText="1"/>
    </xf>
    <xf numFmtId="164" fontId="0" fillId="0" borderId="1" xfId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64" fontId="4" fillId="0" borderId="1" xfId="1" applyFont="1" applyBorder="1" applyAlignment="1">
      <alignment horizontal="center"/>
    </xf>
    <xf numFmtId="164" fontId="0" fillId="0" borderId="3" xfId="1" applyFont="1" applyBorder="1" applyAlignment="1">
      <alignment horizontal="center"/>
    </xf>
    <xf numFmtId="164" fontId="0" fillId="0" borderId="0" xfId="1" applyFont="1" applyAlignment="1">
      <alignment horizontal="center"/>
    </xf>
    <xf numFmtId="164" fontId="0" fillId="0" borderId="4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311727</xdr:colOff>
      <xdr:row>1</xdr:row>
      <xdr:rowOff>127000</xdr:rowOff>
    </xdr:from>
    <xdr:to>
      <xdr:col>13</xdr:col>
      <xdr:colOff>950076</xdr:colOff>
      <xdr:row>6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98727" y="311727"/>
          <a:ext cx="1815985" cy="79605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311727</xdr:colOff>
      <xdr:row>1</xdr:row>
      <xdr:rowOff>127000</xdr:rowOff>
    </xdr:from>
    <xdr:to>
      <xdr:col>13</xdr:col>
      <xdr:colOff>950076</xdr:colOff>
      <xdr:row>6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A8F69-183C-4B49-956B-4E492702A2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5847" y="309880"/>
          <a:ext cx="1796589" cy="7905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311727</xdr:colOff>
      <xdr:row>1</xdr:row>
      <xdr:rowOff>127000</xdr:rowOff>
    </xdr:from>
    <xdr:to>
      <xdr:col>13</xdr:col>
      <xdr:colOff>950076</xdr:colOff>
      <xdr:row>6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33FCB8-0529-4D7E-8B8F-22BB79A7BC6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5847" y="309880"/>
          <a:ext cx="1796589" cy="7905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311727</xdr:colOff>
      <xdr:row>1</xdr:row>
      <xdr:rowOff>127000</xdr:rowOff>
    </xdr:from>
    <xdr:to>
      <xdr:col>13</xdr:col>
      <xdr:colOff>950076</xdr:colOff>
      <xdr:row>6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2DACD-5E54-44A8-8ED5-2CCD5F4B25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00607" y="309880"/>
          <a:ext cx="1796589" cy="7905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13</xdr:col>
      <xdr:colOff>753803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21140" y="190500"/>
          <a:ext cx="1786890" cy="81915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13</xdr:col>
      <xdr:colOff>753803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7AF7C-EA5D-48A6-BC6B-B91BE8E3D77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44050" y="184150"/>
          <a:ext cx="1820603" cy="793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8:S60"/>
  <sheetViews>
    <sheetView showGridLines="0" tabSelected="1" topLeftCell="A16" zoomScale="80" zoomScaleNormal="80" workbookViewId="0">
      <selection activeCell="N38" sqref="N38"/>
    </sheetView>
  </sheetViews>
  <sheetFormatPr defaultColWidth="9" defaultRowHeight="14.4"/>
  <cols>
    <col min="1" max="1" width="15.88671875" style="23" customWidth="1"/>
    <col min="2" max="2" width="16.44140625" style="11" customWidth="1"/>
    <col min="3" max="3" width="18.44140625" style="11" customWidth="1"/>
    <col min="4" max="4" width="12.6640625" style="11" customWidth="1"/>
    <col min="5" max="5" width="11.44140625" style="11" customWidth="1"/>
    <col min="6" max="6" width="12.109375" style="11" customWidth="1"/>
    <col min="7" max="7" width="11.109375" style="11" customWidth="1"/>
    <col min="8" max="8" width="9.44140625" style="11" customWidth="1"/>
    <col min="9" max="10" width="9.109375" style="11"/>
    <col min="11" max="11" width="9.88671875" style="11" customWidth="1"/>
    <col min="12" max="12" width="11.6640625" style="11" customWidth="1"/>
    <col min="13" max="14" width="16.88671875" style="11" customWidth="1"/>
    <col min="15" max="15" width="12.6640625" customWidth="1"/>
    <col min="17" max="17" width="15.109375"/>
  </cols>
  <sheetData>
    <row r="8" spans="1:14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1:14" ht="23.4">
      <c r="A9" s="48" t="s">
        <v>50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</row>
    <row r="10" spans="1:14">
      <c r="A10" s="50" t="s">
        <v>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>
      <c r="A11" s="51" t="s">
        <v>51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4" spans="1:14">
      <c r="A14" s="45" t="s">
        <v>2</v>
      </c>
      <c r="B14" s="52" t="s">
        <v>3</v>
      </c>
      <c r="C14" s="52"/>
      <c r="D14" s="52" t="s">
        <v>4</v>
      </c>
      <c r="E14" s="52"/>
      <c r="F14" s="52"/>
      <c r="G14" s="52"/>
      <c r="H14" s="52"/>
      <c r="I14" s="52"/>
      <c r="J14" s="52"/>
      <c r="K14" s="6" t="s">
        <v>5</v>
      </c>
      <c r="L14" s="42" t="s">
        <v>6</v>
      </c>
      <c r="M14" s="42"/>
      <c r="N14" s="42" t="s">
        <v>7</v>
      </c>
    </row>
    <row r="15" spans="1:14">
      <c r="A15" s="45"/>
      <c r="B15" s="17" t="s">
        <v>8</v>
      </c>
      <c r="C15" s="17" t="s">
        <v>9</v>
      </c>
      <c r="D15" s="46" t="s">
        <v>47</v>
      </c>
      <c r="E15" s="47" t="s">
        <v>10</v>
      </c>
      <c r="F15" s="47"/>
      <c r="G15" s="41" t="s">
        <v>11</v>
      </c>
      <c r="H15" s="41" t="s">
        <v>12</v>
      </c>
      <c r="I15" s="41" t="s">
        <v>13</v>
      </c>
      <c r="J15" s="41" t="s">
        <v>14</v>
      </c>
      <c r="K15" s="41" t="s">
        <v>15</v>
      </c>
      <c r="L15" s="41" t="s">
        <v>16</v>
      </c>
      <c r="M15" s="41" t="s">
        <v>17</v>
      </c>
      <c r="N15" s="42"/>
    </row>
    <row r="16" spans="1:14" ht="36">
      <c r="A16" s="45"/>
      <c r="B16" s="19" t="s">
        <v>18</v>
      </c>
      <c r="C16" s="19" t="s">
        <v>18</v>
      </c>
      <c r="D16" s="41"/>
      <c r="E16" s="20" t="s">
        <v>19</v>
      </c>
      <c r="F16" s="20" t="s">
        <v>20</v>
      </c>
      <c r="G16" s="41"/>
      <c r="H16" s="41"/>
      <c r="I16" s="41"/>
      <c r="J16" s="41"/>
      <c r="K16" s="41"/>
      <c r="L16" s="41"/>
      <c r="M16" s="41"/>
      <c r="N16" s="42"/>
    </row>
    <row r="17" spans="1:14" ht="15.6">
      <c r="A17" s="38" t="s">
        <v>52</v>
      </c>
      <c r="B17" s="39">
        <v>238.1</v>
      </c>
      <c r="C17" s="2">
        <f>476.19-95.24</f>
        <v>380.95</v>
      </c>
      <c r="D17" s="2">
        <f>B17*0.12</f>
        <v>28.571999999999999</v>
      </c>
      <c r="E17" s="2">
        <v>0</v>
      </c>
      <c r="F17" s="34">
        <v>0</v>
      </c>
      <c r="G17" s="2">
        <v>0</v>
      </c>
      <c r="H17" s="2">
        <f>95.24+57.14</f>
        <v>152.38</v>
      </c>
      <c r="I17" s="2">
        <v>0</v>
      </c>
      <c r="J17" s="2">
        <v>0</v>
      </c>
      <c r="K17" s="2">
        <v>0</v>
      </c>
      <c r="L17" s="2">
        <v>61.9</v>
      </c>
      <c r="M17" s="2">
        <v>0</v>
      </c>
      <c r="N17" s="2">
        <f>SUM(B17:M17)</f>
        <v>861.90199999999993</v>
      </c>
    </row>
    <row r="18" spans="1:14" ht="15.6">
      <c r="A18" s="38" t="s">
        <v>53</v>
      </c>
      <c r="B18" s="39">
        <v>0</v>
      </c>
      <c r="C18" s="2">
        <v>0</v>
      </c>
      <c r="D18" s="2">
        <f>B18*0.12</f>
        <v>0</v>
      </c>
      <c r="E18" s="2">
        <v>0</v>
      </c>
      <c r="F18" s="34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/>
      <c r="N18" s="2">
        <f t="shared" ref="N18:N19" si="0">SUM(B18:M18)</f>
        <v>0</v>
      </c>
    </row>
    <row r="19" spans="1:14" ht="15.6">
      <c r="A19" s="38" t="s">
        <v>54</v>
      </c>
      <c r="B19" s="39"/>
      <c r="C19" s="2"/>
      <c r="D19" s="2"/>
      <c r="E19" s="2"/>
      <c r="F19" s="34"/>
      <c r="G19" s="2"/>
      <c r="H19" s="2"/>
      <c r="I19" s="2"/>
      <c r="J19" s="2"/>
      <c r="K19" s="2"/>
      <c r="L19" s="2"/>
      <c r="M19" s="2"/>
      <c r="N19" s="2">
        <f t="shared" si="0"/>
        <v>0</v>
      </c>
    </row>
    <row r="21" spans="1:14">
      <c r="A21" s="23" t="s">
        <v>21</v>
      </c>
      <c r="B21" s="25">
        <f t="shared" ref="B21:N21" si="1">SUM(B17:B19)</f>
        <v>238.1</v>
      </c>
      <c r="C21" s="25">
        <f t="shared" si="1"/>
        <v>380.95</v>
      </c>
      <c r="D21" s="25">
        <f t="shared" si="1"/>
        <v>28.571999999999999</v>
      </c>
      <c r="E21" s="33">
        <f t="shared" si="1"/>
        <v>0</v>
      </c>
      <c r="F21" s="33">
        <f t="shared" si="1"/>
        <v>0</v>
      </c>
      <c r="G21" s="33">
        <f t="shared" si="1"/>
        <v>0</v>
      </c>
      <c r="H21" s="33">
        <f t="shared" si="1"/>
        <v>152.38</v>
      </c>
      <c r="I21" s="33">
        <f t="shared" si="1"/>
        <v>0</v>
      </c>
      <c r="J21" s="33">
        <f t="shared" si="1"/>
        <v>0</v>
      </c>
      <c r="K21" s="33">
        <f t="shared" si="1"/>
        <v>0</v>
      </c>
      <c r="L21" s="33">
        <f t="shared" si="1"/>
        <v>61.9</v>
      </c>
      <c r="M21" s="33">
        <f t="shared" si="1"/>
        <v>0</v>
      </c>
      <c r="N21" s="25">
        <f t="shared" si="1"/>
        <v>861.90199999999993</v>
      </c>
    </row>
    <row r="23" spans="1:14">
      <c r="A23" s="23" t="s">
        <v>22</v>
      </c>
      <c r="B23" s="11" t="s">
        <v>23</v>
      </c>
      <c r="N23" s="11">
        <f>+E21</f>
        <v>0</v>
      </c>
    </row>
    <row r="24" spans="1:14">
      <c r="B24" s="32" t="s">
        <v>48</v>
      </c>
      <c r="N24" s="11">
        <f>F21</f>
        <v>0</v>
      </c>
    </row>
    <row r="25" spans="1:14">
      <c r="B25" s="32" t="s">
        <v>49</v>
      </c>
      <c r="N25" s="11">
        <f>G21</f>
        <v>0</v>
      </c>
    </row>
    <row r="26" spans="1:14">
      <c r="B26" s="11" t="s">
        <v>24</v>
      </c>
      <c r="N26" s="11">
        <f>+J21</f>
        <v>0</v>
      </c>
    </row>
    <row r="27" spans="1:14">
      <c r="B27" s="11" t="s">
        <v>25</v>
      </c>
      <c r="N27" s="11">
        <f>+C21</f>
        <v>380.95</v>
      </c>
    </row>
    <row r="28" spans="1:14">
      <c r="B28" s="32" t="s">
        <v>26</v>
      </c>
      <c r="N28" s="11">
        <f>+H21+I21</f>
        <v>152.38</v>
      </c>
    </row>
    <row r="29" spans="1:14">
      <c r="B29" s="11" t="s">
        <v>5</v>
      </c>
      <c r="N29" s="11">
        <f>+K21</f>
        <v>0</v>
      </c>
    </row>
    <row r="30" spans="1:14">
      <c r="B30" s="11" t="s">
        <v>27</v>
      </c>
      <c r="N30" s="11">
        <f>+L21</f>
        <v>61.9</v>
      </c>
    </row>
    <row r="31" spans="1:14">
      <c r="B31" s="11" t="s">
        <v>28</v>
      </c>
      <c r="N31" s="11">
        <f>+M21</f>
        <v>0</v>
      </c>
    </row>
    <row r="32" spans="1:14" ht="7.5" customHeight="1"/>
    <row r="33" spans="1:19" s="35" customFormat="1">
      <c r="A33" s="35" t="s">
        <v>3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>
        <f>+N21-N23-N26-N27-N28-N29-N30-N31-N24-N25</f>
        <v>266.67199999999997</v>
      </c>
      <c r="O33" s="37"/>
      <c r="Q33" s="37"/>
      <c r="S33" s="36"/>
    </row>
    <row r="34" spans="1:19" ht="15" thickBot="1">
      <c r="A34" t="s">
        <v>29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8">
        <f>(N33/1.12)*0.12</f>
        <v>28.571999999999992</v>
      </c>
      <c r="O34" s="22"/>
      <c r="S34" s="1"/>
    </row>
    <row r="35" spans="1:19">
      <c r="A3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S35" s="1"/>
    </row>
    <row r="36" spans="1:19">
      <c r="A3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f>N33-N34</f>
        <v>238.09999999999997</v>
      </c>
      <c r="P36" s="22"/>
      <c r="S36" s="1"/>
    </row>
    <row r="37" spans="1:19">
      <c r="A3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9">
      <c r="A38"/>
      <c r="B38" s="4" t="s">
        <v>30</v>
      </c>
      <c r="C38" s="5" t="s">
        <v>25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>
        <f>+C21</f>
        <v>380.95</v>
      </c>
    </row>
    <row r="39" spans="1:19">
      <c r="A39"/>
      <c r="B39" s="4"/>
      <c r="C39" s="5" t="s">
        <v>48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>
        <f>F21</f>
        <v>0</v>
      </c>
    </row>
    <row r="40" spans="1:19">
      <c r="A40"/>
      <c r="B40" s="1"/>
      <c r="C40" s="1" t="s">
        <v>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>
        <f>+K21</f>
        <v>0</v>
      </c>
    </row>
    <row r="41" spans="1:19">
      <c r="A41"/>
      <c r="B41" s="1"/>
      <c r="C41" s="1" t="s">
        <v>28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5">
        <f>+M21</f>
        <v>0</v>
      </c>
    </row>
    <row r="42" spans="1:19" ht="6" customHeight="1">
      <c r="A4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9" ht="15" thickBot="1">
      <c r="A43"/>
      <c r="B43" s="9" t="s">
        <v>31</v>
      </c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6">
        <f>SUM(N36:N41)</f>
        <v>619.04999999999995</v>
      </c>
      <c r="O43" s="22"/>
    </row>
    <row r="51" spans="2:9">
      <c r="C51" s="11" t="s">
        <v>32</v>
      </c>
      <c r="G51" s="11" t="s">
        <v>33</v>
      </c>
    </row>
    <row r="54" spans="2:9">
      <c r="C54" s="44"/>
      <c r="D54" s="44"/>
      <c r="G54" s="44"/>
      <c r="H54" s="44"/>
      <c r="I54" s="44"/>
    </row>
    <row r="55" spans="2:9">
      <c r="C55" s="44"/>
      <c r="D55" s="44"/>
    </row>
    <row r="56" spans="2:9">
      <c r="C56" s="43" t="s">
        <v>34</v>
      </c>
      <c r="D56" s="43"/>
      <c r="G56" s="44" t="s">
        <v>34</v>
      </c>
      <c r="H56" s="44"/>
      <c r="I56" s="44"/>
    </row>
    <row r="57" spans="2:9">
      <c r="C57" s="44" t="s">
        <v>35</v>
      </c>
      <c r="D57" s="44"/>
      <c r="G57" s="11" t="s">
        <v>35</v>
      </c>
    </row>
    <row r="59" spans="2:9">
      <c r="B59" s="13"/>
      <c r="C59" s="43" t="s">
        <v>36</v>
      </c>
      <c r="D59" s="44"/>
      <c r="G59" s="44"/>
      <c r="H59" s="44"/>
      <c r="I59" s="44"/>
    </row>
    <row r="60" spans="2:9">
      <c r="C60" s="44" t="s">
        <v>37</v>
      </c>
      <c r="D60" s="44"/>
      <c r="G60" s="44" t="s">
        <v>37</v>
      </c>
      <c r="H60" s="44"/>
      <c r="I60" s="44"/>
    </row>
  </sheetData>
  <mergeCells count="27">
    <mergeCell ref="A9:N9"/>
    <mergeCell ref="A10:N10"/>
    <mergeCell ref="A11:N11"/>
    <mergeCell ref="B14:C14"/>
    <mergeCell ref="D14:J14"/>
    <mergeCell ref="L14:M14"/>
    <mergeCell ref="C59:D59"/>
    <mergeCell ref="G59:I59"/>
    <mergeCell ref="C60:D60"/>
    <mergeCell ref="G60:I60"/>
    <mergeCell ref="A14:A16"/>
    <mergeCell ref="D15:D16"/>
    <mergeCell ref="G15:G16"/>
    <mergeCell ref="H15:H16"/>
    <mergeCell ref="I15:I16"/>
    <mergeCell ref="E15:F15"/>
    <mergeCell ref="C54:D54"/>
    <mergeCell ref="G54:I54"/>
    <mergeCell ref="C55:D55"/>
    <mergeCell ref="C56:D56"/>
    <mergeCell ref="G56:I56"/>
    <mergeCell ref="C57:D57"/>
    <mergeCell ref="J15:J16"/>
    <mergeCell ref="K15:K16"/>
    <mergeCell ref="L15:L16"/>
    <mergeCell ref="M15:M16"/>
    <mergeCell ref="N14:N16"/>
  </mergeCells>
  <pageMargins left="0.7" right="0.7" top="0.75" bottom="0.75" header="0.3" footer="0.3"/>
  <pageSetup paperSize="9"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76F9-088E-427C-8B13-78124CFD479F}">
  <sheetPr>
    <pageSetUpPr fitToPage="1"/>
  </sheetPr>
  <dimension ref="A8:S60"/>
  <sheetViews>
    <sheetView showGridLines="0" topLeftCell="A17" zoomScale="80" zoomScaleNormal="80" workbookViewId="0">
      <selection activeCell="L18" sqref="L18"/>
    </sheetView>
  </sheetViews>
  <sheetFormatPr defaultColWidth="9" defaultRowHeight="14.4"/>
  <cols>
    <col min="1" max="1" width="15.88671875" style="23" customWidth="1"/>
    <col min="2" max="2" width="16.44140625" style="11" customWidth="1"/>
    <col min="3" max="3" width="18.44140625" style="11" customWidth="1"/>
    <col min="4" max="4" width="12.6640625" style="11" customWidth="1"/>
    <col min="5" max="5" width="11.44140625" style="11" customWidth="1"/>
    <col min="6" max="6" width="12.109375" style="11" customWidth="1"/>
    <col min="7" max="7" width="11.109375" style="11" customWidth="1"/>
    <col min="8" max="8" width="9.44140625" style="11" customWidth="1"/>
    <col min="9" max="10" width="9" style="11"/>
    <col min="11" max="11" width="9.88671875" style="11" customWidth="1"/>
    <col min="12" max="12" width="11.6640625" style="11" customWidth="1"/>
    <col min="13" max="14" width="16.88671875" style="11" customWidth="1"/>
    <col min="15" max="15" width="12.6640625" customWidth="1"/>
  </cols>
  <sheetData>
    <row r="8" spans="1:14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1:14" ht="23.4">
      <c r="A9" s="48" t="s">
        <v>50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</row>
    <row r="10" spans="1:14">
      <c r="A10" s="50" t="s">
        <v>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>
      <c r="A11" s="51" t="s">
        <v>51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4" spans="1:14">
      <c r="A14" s="45" t="s">
        <v>2</v>
      </c>
      <c r="B14" s="52" t="s">
        <v>3</v>
      </c>
      <c r="C14" s="52"/>
      <c r="D14" s="52" t="s">
        <v>4</v>
      </c>
      <c r="E14" s="52"/>
      <c r="F14" s="52"/>
      <c r="G14" s="52"/>
      <c r="H14" s="52"/>
      <c r="I14" s="52"/>
      <c r="J14" s="52"/>
      <c r="K14" s="6" t="s">
        <v>5</v>
      </c>
      <c r="L14" s="42" t="s">
        <v>6</v>
      </c>
      <c r="M14" s="42"/>
      <c r="N14" s="42" t="s">
        <v>7</v>
      </c>
    </row>
    <row r="15" spans="1:14">
      <c r="A15" s="45"/>
      <c r="B15" s="17" t="s">
        <v>8</v>
      </c>
      <c r="C15" s="17" t="s">
        <v>9</v>
      </c>
      <c r="D15" s="46" t="s">
        <v>47</v>
      </c>
      <c r="E15" s="47" t="s">
        <v>10</v>
      </c>
      <c r="F15" s="47"/>
      <c r="G15" s="41" t="s">
        <v>11</v>
      </c>
      <c r="H15" s="41" t="s">
        <v>12</v>
      </c>
      <c r="I15" s="41" t="s">
        <v>13</v>
      </c>
      <c r="J15" s="41" t="s">
        <v>14</v>
      </c>
      <c r="K15" s="41" t="s">
        <v>15</v>
      </c>
      <c r="L15" s="41" t="s">
        <v>16</v>
      </c>
      <c r="M15" s="41" t="s">
        <v>17</v>
      </c>
      <c r="N15" s="42"/>
    </row>
    <row r="16" spans="1:14" ht="36">
      <c r="A16" s="45"/>
      <c r="B16" s="19" t="s">
        <v>18</v>
      </c>
      <c r="C16" s="19" t="s">
        <v>18</v>
      </c>
      <c r="D16" s="41"/>
      <c r="E16" s="20" t="s">
        <v>19</v>
      </c>
      <c r="F16" s="20" t="s">
        <v>20</v>
      </c>
      <c r="G16" s="41"/>
      <c r="H16" s="41"/>
      <c r="I16" s="41"/>
      <c r="J16" s="41"/>
      <c r="K16" s="41"/>
      <c r="L16" s="41"/>
      <c r="M16" s="41"/>
      <c r="N16" s="42"/>
    </row>
    <row r="17" spans="1:14" ht="15.6">
      <c r="A17" s="38" t="s">
        <v>52</v>
      </c>
      <c r="B17" s="39">
        <v>0</v>
      </c>
      <c r="C17" s="2">
        <v>0</v>
      </c>
      <c r="D17" s="2">
        <f>B17*0.12</f>
        <v>0</v>
      </c>
      <c r="E17" s="2">
        <v>0</v>
      </c>
      <c r="F17" s="34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f>SUM(B17:M17)</f>
        <v>0</v>
      </c>
    </row>
    <row r="18" spans="1:14" ht="15.6">
      <c r="A18" s="38" t="s">
        <v>53</v>
      </c>
      <c r="B18" s="39">
        <v>267.86</v>
      </c>
      <c r="C18" s="2">
        <v>0</v>
      </c>
      <c r="D18" s="2">
        <f>B18*0.12</f>
        <v>32.1432</v>
      </c>
      <c r="E18" s="2">
        <v>0</v>
      </c>
      <c r="F18" s="34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26.79</v>
      </c>
      <c r="M18" s="2"/>
      <c r="N18" s="2">
        <f t="shared" ref="N18:N19" si="0">SUM(B18:M18)</f>
        <v>326.79320000000001</v>
      </c>
    </row>
    <row r="19" spans="1:14" ht="15.6">
      <c r="A19" s="38" t="s">
        <v>54</v>
      </c>
      <c r="B19" s="39"/>
      <c r="C19" s="2"/>
      <c r="D19" s="2"/>
      <c r="E19" s="2"/>
      <c r="F19" s="34"/>
      <c r="G19" s="2"/>
      <c r="H19" s="2"/>
      <c r="I19" s="2"/>
      <c r="J19" s="2"/>
      <c r="K19" s="2"/>
      <c r="L19" s="2"/>
      <c r="M19" s="2"/>
      <c r="N19" s="2">
        <f t="shared" si="0"/>
        <v>0</v>
      </c>
    </row>
    <row r="21" spans="1:14">
      <c r="A21" s="23" t="s">
        <v>21</v>
      </c>
      <c r="B21" s="25">
        <f t="shared" ref="B21:N21" si="1">SUM(B17:B19)</f>
        <v>267.86</v>
      </c>
      <c r="C21" s="25">
        <f t="shared" si="1"/>
        <v>0</v>
      </c>
      <c r="D21" s="25">
        <f t="shared" si="1"/>
        <v>32.1432</v>
      </c>
      <c r="E21" s="33">
        <f t="shared" si="1"/>
        <v>0</v>
      </c>
      <c r="F21" s="33">
        <f t="shared" si="1"/>
        <v>0</v>
      </c>
      <c r="G21" s="33">
        <f t="shared" si="1"/>
        <v>0</v>
      </c>
      <c r="H21" s="33">
        <f t="shared" si="1"/>
        <v>0</v>
      </c>
      <c r="I21" s="33">
        <f t="shared" si="1"/>
        <v>0</v>
      </c>
      <c r="J21" s="33">
        <f t="shared" si="1"/>
        <v>0</v>
      </c>
      <c r="K21" s="33">
        <f t="shared" si="1"/>
        <v>0</v>
      </c>
      <c r="L21" s="33">
        <f t="shared" si="1"/>
        <v>26.79</v>
      </c>
      <c r="M21" s="33">
        <f t="shared" si="1"/>
        <v>0</v>
      </c>
      <c r="N21" s="25">
        <f t="shared" si="1"/>
        <v>326.79320000000001</v>
      </c>
    </row>
    <row r="23" spans="1:14">
      <c r="A23" s="23" t="s">
        <v>22</v>
      </c>
      <c r="B23" s="11" t="s">
        <v>23</v>
      </c>
      <c r="N23" s="11">
        <f>+E21</f>
        <v>0</v>
      </c>
    </row>
    <row r="24" spans="1:14">
      <c r="B24" s="32" t="s">
        <v>48</v>
      </c>
      <c r="N24" s="11">
        <f>F21</f>
        <v>0</v>
      </c>
    </row>
    <row r="25" spans="1:14">
      <c r="B25" s="32" t="s">
        <v>49</v>
      </c>
      <c r="N25" s="11">
        <f>G21</f>
        <v>0</v>
      </c>
    </row>
    <row r="26" spans="1:14">
      <c r="B26" s="11" t="s">
        <v>24</v>
      </c>
      <c r="N26" s="11">
        <f>+J21</f>
        <v>0</v>
      </c>
    </row>
    <row r="27" spans="1:14">
      <c r="B27" s="11" t="s">
        <v>25</v>
      </c>
      <c r="N27" s="11">
        <f>+C21</f>
        <v>0</v>
      </c>
    </row>
    <row r="28" spans="1:14">
      <c r="B28" s="32" t="s">
        <v>26</v>
      </c>
      <c r="N28" s="11">
        <f>+H21+I21</f>
        <v>0</v>
      </c>
    </row>
    <row r="29" spans="1:14">
      <c r="B29" s="11" t="s">
        <v>5</v>
      </c>
      <c r="N29" s="11">
        <f>+K21</f>
        <v>0</v>
      </c>
    </row>
    <row r="30" spans="1:14">
      <c r="B30" s="11" t="s">
        <v>27</v>
      </c>
      <c r="N30" s="11">
        <f>+L21</f>
        <v>26.79</v>
      </c>
    </row>
    <row r="31" spans="1:14">
      <c r="B31" s="11" t="s">
        <v>28</v>
      </c>
      <c r="N31" s="11">
        <f>+M21</f>
        <v>0</v>
      </c>
    </row>
    <row r="32" spans="1:14" ht="7.5" customHeight="1"/>
    <row r="33" spans="1:19" s="35" customFormat="1">
      <c r="A33" s="35" t="s">
        <v>3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>
        <f>+N21-N23-N26-N27-N28-N29-N30-N31-N24-N25</f>
        <v>300.00319999999999</v>
      </c>
      <c r="O33" s="37"/>
      <c r="Q33" s="37"/>
      <c r="S33" s="36"/>
    </row>
    <row r="34" spans="1:19" ht="15" thickBot="1">
      <c r="A34" t="s">
        <v>29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8">
        <f>(N33/1.12)*0.12</f>
        <v>32.143199999999993</v>
      </c>
      <c r="O34" s="22"/>
      <c r="S34" s="1"/>
    </row>
    <row r="35" spans="1:19">
      <c r="A3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S35" s="1"/>
    </row>
    <row r="36" spans="1:19">
      <c r="A3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f>N33-N34</f>
        <v>267.86</v>
      </c>
      <c r="P36" s="22"/>
      <c r="S36" s="1"/>
    </row>
    <row r="37" spans="1:19">
      <c r="A3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9">
      <c r="A38"/>
      <c r="B38" s="4" t="s">
        <v>30</v>
      </c>
      <c r="C38" s="5" t="s">
        <v>25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>
        <f>+C21</f>
        <v>0</v>
      </c>
    </row>
    <row r="39" spans="1:19">
      <c r="A39"/>
      <c r="B39" s="4"/>
      <c r="C39" s="5" t="s">
        <v>48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>
        <f>F21</f>
        <v>0</v>
      </c>
    </row>
    <row r="40" spans="1:19">
      <c r="A40"/>
      <c r="B40" s="1"/>
      <c r="C40" s="1" t="s">
        <v>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>
        <f>+K21</f>
        <v>0</v>
      </c>
    </row>
    <row r="41" spans="1:19">
      <c r="A41"/>
      <c r="B41" s="1"/>
      <c r="C41" s="1" t="s">
        <v>28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5">
        <f>+M21</f>
        <v>0</v>
      </c>
    </row>
    <row r="42" spans="1:19" ht="6" customHeight="1">
      <c r="A4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9" ht="15" thickBot="1">
      <c r="A43"/>
      <c r="B43" s="9" t="s">
        <v>31</v>
      </c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6">
        <f>SUM(N36:N41)</f>
        <v>267.86</v>
      </c>
      <c r="O43" s="22"/>
    </row>
    <row r="51" spans="2:9">
      <c r="C51" s="11" t="s">
        <v>32</v>
      </c>
      <c r="G51" s="11" t="s">
        <v>33</v>
      </c>
    </row>
    <row r="54" spans="2:9">
      <c r="C54" s="44"/>
      <c r="D54" s="44"/>
      <c r="G54" s="44"/>
      <c r="H54" s="44"/>
      <c r="I54" s="44"/>
    </row>
    <row r="55" spans="2:9">
      <c r="C55" s="44"/>
      <c r="D55" s="44"/>
    </row>
    <row r="56" spans="2:9">
      <c r="C56" s="43" t="s">
        <v>34</v>
      </c>
      <c r="D56" s="43"/>
      <c r="G56" s="44" t="s">
        <v>34</v>
      </c>
      <c r="H56" s="44"/>
      <c r="I56" s="44"/>
    </row>
    <row r="57" spans="2:9">
      <c r="C57" s="44" t="s">
        <v>35</v>
      </c>
      <c r="D57" s="44"/>
      <c r="G57" s="11" t="s">
        <v>35</v>
      </c>
    </row>
    <row r="59" spans="2:9">
      <c r="B59" s="13"/>
      <c r="C59" s="43" t="s">
        <v>36</v>
      </c>
      <c r="D59" s="44"/>
      <c r="G59" s="44"/>
      <c r="H59" s="44"/>
      <c r="I59" s="44"/>
    </row>
    <row r="60" spans="2:9">
      <c r="C60" s="44" t="s">
        <v>37</v>
      </c>
      <c r="D60" s="44"/>
      <c r="G60" s="44" t="s">
        <v>37</v>
      </c>
      <c r="H60" s="44"/>
      <c r="I60" s="44"/>
    </row>
  </sheetData>
  <mergeCells count="27">
    <mergeCell ref="L15:L16"/>
    <mergeCell ref="C57:D57"/>
    <mergeCell ref="C59:D59"/>
    <mergeCell ref="G59:I59"/>
    <mergeCell ref="C60:D60"/>
    <mergeCell ref="G60:I60"/>
    <mergeCell ref="C54:D54"/>
    <mergeCell ref="G54:I54"/>
    <mergeCell ref="C55:D55"/>
    <mergeCell ref="C56:D56"/>
    <mergeCell ref="G56:I56"/>
    <mergeCell ref="A9:N9"/>
    <mergeCell ref="A10:N10"/>
    <mergeCell ref="A11:N11"/>
    <mergeCell ref="A14:A16"/>
    <mergeCell ref="B14:C14"/>
    <mergeCell ref="D14:J14"/>
    <mergeCell ref="L14:M14"/>
    <mergeCell ref="N14:N16"/>
    <mergeCell ref="D15:D16"/>
    <mergeCell ref="E15:F15"/>
    <mergeCell ref="M15:M16"/>
    <mergeCell ref="G15:G16"/>
    <mergeCell ref="H15:H16"/>
    <mergeCell ref="I15:I16"/>
    <mergeCell ref="J15:J16"/>
    <mergeCell ref="K15:K16"/>
  </mergeCells>
  <pageMargins left="0.7" right="0.7" top="0.75" bottom="0.75" header="0.3" footer="0.3"/>
  <pageSetup paperSize="9"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6143-BC45-4333-BD5D-4B2F9D468C47}">
  <sheetPr>
    <pageSetUpPr fitToPage="1"/>
  </sheetPr>
  <dimension ref="A8:S60"/>
  <sheetViews>
    <sheetView showGridLines="0" topLeftCell="A13" zoomScale="80" zoomScaleNormal="80" workbookViewId="0">
      <selection activeCell="N23" sqref="N23"/>
    </sheetView>
  </sheetViews>
  <sheetFormatPr defaultColWidth="9" defaultRowHeight="14.4"/>
  <cols>
    <col min="1" max="1" width="15.88671875" style="23" customWidth="1"/>
    <col min="2" max="2" width="16.44140625" style="11" customWidth="1"/>
    <col min="3" max="3" width="18.44140625" style="11" customWidth="1"/>
    <col min="4" max="4" width="12.6640625" style="11" customWidth="1"/>
    <col min="5" max="5" width="11.44140625" style="11" customWidth="1"/>
    <col min="6" max="6" width="12.109375" style="11" customWidth="1"/>
    <col min="7" max="7" width="11.109375" style="11" customWidth="1"/>
    <col min="8" max="8" width="9.44140625" style="11" customWidth="1"/>
    <col min="9" max="10" width="9" style="11"/>
    <col min="11" max="11" width="9.88671875" style="11" customWidth="1"/>
    <col min="12" max="12" width="11.6640625" style="11" customWidth="1"/>
    <col min="13" max="14" width="16.88671875" style="11" customWidth="1"/>
    <col min="15" max="15" width="12.6640625" customWidth="1"/>
  </cols>
  <sheetData>
    <row r="8" spans="1:14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1:14" ht="23.4">
      <c r="A9" s="48" t="s">
        <v>50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</row>
    <row r="10" spans="1:14">
      <c r="A10" s="50" t="s">
        <v>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>
      <c r="A11" s="51" t="s">
        <v>51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4" spans="1:14">
      <c r="A14" s="45" t="s">
        <v>2</v>
      </c>
      <c r="B14" s="52" t="s">
        <v>3</v>
      </c>
      <c r="C14" s="52"/>
      <c r="D14" s="52" t="s">
        <v>4</v>
      </c>
      <c r="E14" s="52"/>
      <c r="F14" s="52"/>
      <c r="G14" s="52"/>
      <c r="H14" s="52"/>
      <c r="I14" s="52"/>
      <c r="J14" s="52"/>
      <c r="K14" s="6" t="s">
        <v>5</v>
      </c>
      <c r="L14" s="42" t="s">
        <v>6</v>
      </c>
      <c r="M14" s="42"/>
      <c r="N14" s="42" t="s">
        <v>7</v>
      </c>
    </row>
    <row r="15" spans="1:14">
      <c r="A15" s="45"/>
      <c r="B15" s="17" t="s">
        <v>8</v>
      </c>
      <c r="C15" s="17" t="s">
        <v>9</v>
      </c>
      <c r="D15" s="46" t="s">
        <v>47</v>
      </c>
      <c r="E15" s="47" t="s">
        <v>10</v>
      </c>
      <c r="F15" s="47"/>
      <c r="G15" s="41" t="s">
        <v>11</v>
      </c>
      <c r="H15" s="41" t="s">
        <v>12</v>
      </c>
      <c r="I15" s="41" t="s">
        <v>13</v>
      </c>
      <c r="J15" s="41" t="s">
        <v>14</v>
      </c>
      <c r="K15" s="41" t="s">
        <v>15</v>
      </c>
      <c r="L15" s="41" t="s">
        <v>16</v>
      </c>
      <c r="M15" s="41" t="s">
        <v>17</v>
      </c>
      <c r="N15" s="42"/>
    </row>
    <row r="16" spans="1:14" ht="36">
      <c r="A16" s="45"/>
      <c r="B16" s="19" t="s">
        <v>18</v>
      </c>
      <c r="C16" s="19" t="s">
        <v>18</v>
      </c>
      <c r="D16" s="41"/>
      <c r="E16" s="20" t="s">
        <v>19</v>
      </c>
      <c r="F16" s="20" t="s">
        <v>20</v>
      </c>
      <c r="G16" s="41"/>
      <c r="H16" s="41"/>
      <c r="I16" s="41"/>
      <c r="J16" s="41"/>
      <c r="K16" s="41"/>
      <c r="L16" s="41"/>
      <c r="M16" s="41"/>
      <c r="N16" s="42"/>
    </row>
    <row r="17" spans="1:14" ht="15.6">
      <c r="A17" s="38" t="s">
        <v>52</v>
      </c>
      <c r="B17" s="39">
        <v>0</v>
      </c>
      <c r="C17" s="2">
        <v>0</v>
      </c>
      <c r="D17" s="2">
        <f>B17*0.12</f>
        <v>0</v>
      </c>
      <c r="E17" s="2">
        <v>0</v>
      </c>
      <c r="F17" s="34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f>SUM(B17:M17)</f>
        <v>0</v>
      </c>
    </row>
    <row r="18" spans="1:14" ht="15.6">
      <c r="A18" s="38" t="s">
        <v>53</v>
      </c>
      <c r="B18" s="39">
        <v>0</v>
      </c>
      <c r="C18" s="2">
        <v>0</v>
      </c>
      <c r="D18" s="2">
        <f>B18*0.12</f>
        <v>0</v>
      </c>
      <c r="E18" s="2">
        <v>0</v>
      </c>
      <c r="F18" s="34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/>
      <c r="N18" s="2">
        <f t="shared" ref="N18:N19" si="0">SUM(B18:M18)</f>
        <v>0</v>
      </c>
    </row>
    <row r="19" spans="1:14" ht="15.6">
      <c r="A19" s="38" t="s">
        <v>54</v>
      </c>
      <c r="B19" s="40">
        <f>357.14-35.71</f>
        <v>321.43</v>
      </c>
      <c r="C19" s="2">
        <v>0</v>
      </c>
      <c r="D19" s="2">
        <f>B19*0.12</f>
        <v>38.571599999999997</v>
      </c>
      <c r="E19" s="2">
        <f>35.71+4.2852</f>
        <v>39.995199999999997</v>
      </c>
      <c r="F19" s="34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32.53</v>
      </c>
      <c r="M19" s="2"/>
      <c r="N19" s="2">
        <f t="shared" si="0"/>
        <v>432.52679999999998</v>
      </c>
    </row>
    <row r="21" spans="1:14">
      <c r="A21" s="23" t="s">
        <v>21</v>
      </c>
      <c r="B21" s="25">
        <f t="shared" ref="B21:N21" si="1">SUM(B17:B19)</f>
        <v>321.43</v>
      </c>
      <c r="C21" s="25">
        <f t="shared" si="1"/>
        <v>0</v>
      </c>
      <c r="D21" s="25">
        <f t="shared" si="1"/>
        <v>38.571599999999997</v>
      </c>
      <c r="E21" s="33">
        <f t="shared" si="1"/>
        <v>39.995199999999997</v>
      </c>
      <c r="F21" s="33">
        <f t="shared" si="1"/>
        <v>0</v>
      </c>
      <c r="G21" s="33">
        <f t="shared" si="1"/>
        <v>0</v>
      </c>
      <c r="H21" s="33">
        <f t="shared" si="1"/>
        <v>0</v>
      </c>
      <c r="I21" s="33">
        <f t="shared" si="1"/>
        <v>0</v>
      </c>
      <c r="J21" s="33">
        <f t="shared" si="1"/>
        <v>0</v>
      </c>
      <c r="K21" s="33">
        <f t="shared" si="1"/>
        <v>0</v>
      </c>
      <c r="L21" s="33">
        <f t="shared" si="1"/>
        <v>32.53</v>
      </c>
      <c r="M21" s="33">
        <f t="shared" si="1"/>
        <v>0</v>
      </c>
      <c r="N21" s="25">
        <f t="shared" si="1"/>
        <v>432.52679999999998</v>
      </c>
    </row>
    <row r="23" spans="1:14">
      <c r="A23" s="23" t="s">
        <v>22</v>
      </c>
      <c r="B23" s="11" t="s">
        <v>23</v>
      </c>
      <c r="N23" s="11">
        <f>+E21</f>
        <v>39.995199999999997</v>
      </c>
    </row>
    <row r="24" spans="1:14">
      <c r="B24" s="32" t="s">
        <v>48</v>
      </c>
      <c r="N24" s="11">
        <f>F21</f>
        <v>0</v>
      </c>
    </row>
    <row r="25" spans="1:14">
      <c r="B25" s="32" t="s">
        <v>49</v>
      </c>
      <c r="N25" s="11">
        <f>G21</f>
        <v>0</v>
      </c>
    </row>
    <row r="26" spans="1:14">
      <c r="B26" s="11" t="s">
        <v>24</v>
      </c>
      <c r="N26" s="11">
        <f>+J21</f>
        <v>0</v>
      </c>
    </row>
    <row r="27" spans="1:14">
      <c r="B27" s="11" t="s">
        <v>25</v>
      </c>
      <c r="N27" s="11">
        <f>+C21</f>
        <v>0</v>
      </c>
    </row>
    <row r="28" spans="1:14">
      <c r="B28" s="32" t="s">
        <v>26</v>
      </c>
      <c r="N28" s="11">
        <f>+H21+I21</f>
        <v>0</v>
      </c>
    </row>
    <row r="29" spans="1:14">
      <c r="B29" s="11" t="s">
        <v>5</v>
      </c>
      <c r="N29" s="11">
        <f>+K21</f>
        <v>0</v>
      </c>
    </row>
    <row r="30" spans="1:14">
      <c r="B30" s="11" t="s">
        <v>27</v>
      </c>
      <c r="N30" s="11">
        <f>+L21</f>
        <v>32.53</v>
      </c>
    </row>
    <row r="31" spans="1:14">
      <c r="B31" s="11" t="s">
        <v>28</v>
      </c>
      <c r="N31" s="11">
        <f>+M21</f>
        <v>0</v>
      </c>
    </row>
    <row r="32" spans="1:14" ht="7.5" customHeight="1"/>
    <row r="33" spans="1:19" s="35" customFormat="1">
      <c r="A33" s="35" t="s">
        <v>3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>
        <f>+N21-N23-N26-N27-N28-N29-N30-N31-N24-N25</f>
        <v>360.00159999999994</v>
      </c>
      <c r="O33" s="37"/>
      <c r="Q33" s="37"/>
      <c r="S33" s="36"/>
    </row>
    <row r="34" spans="1:19" ht="15" thickBot="1">
      <c r="A34" t="s">
        <v>29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8">
        <f>(N33/1.12)*0.12</f>
        <v>38.571599999999982</v>
      </c>
      <c r="O34" s="22"/>
      <c r="S34" s="1"/>
    </row>
    <row r="35" spans="1:19">
      <c r="A3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S35" s="1"/>
    </row>
    <row r="36" spans="1:19">
      <c r="A3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f>N33-N34</f>
        <v>321.42999999999995</v>
      </c>
      <c r="P36" s="22"/>
      <c r="S36" s="1"/>
    </row>
    <row r="37" spans="1:19">
      <c r="A3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9">
      <c r="A38"/>
      <c r="B38" s="4" t="s">
        <v>30</v>
      </c>
      <c r="C38" s="5" t="s">
        <v>25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>
        <f>+C21</f>
        <v>0</v>
      </c>
    </row>
    <row r="39" spans="1:19">
      <c r="A39"/>
      <c r="B39" s="4"/>
      <c r="C39" s="5" t="s">
        <v>48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>
        <f>F21</f>
        <v>0</v>
      </c>
    </row>
    <row r="40" spans="1:19">
      <c r="A40"/>
      <c r="B40" s="1"/>
      <c r="C40" s="1" t="s">
        <v>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>
        <f>+K21</f>
        <v>0</v>
      </c>
    </row>
    <row r="41" spans="1:19">
      <c r="A41"/>
      <c r="B41" s="1"/>
      <c r="C41" s="1" t="s">
        <v>28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5">
        <f>+M21</f>
        <v>0</v>
      </c>
    </row>
    <row r="42" spans="1:19" ht="6" customHeight="1">
      <c r="A4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9" ht="15" thickBot="1">
      <c r="A43"/>
      <c r="B43" s="9" t="s">
        <v>31</v>
      </c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6">
        <f>SUM(N36:N41)</f>
        <v>321.42999999999995</v>
      </c>
      <c r="O43" s="22"/>
    </row>
    <row r="51" spans="2:9">
      <c r="C51" s="11" t="s">
        <v>32</v>
      </c>
      <c r="G51" s="11" t="s">
        <v>33</v>
      </c>
    </row>
    <row r="54" spans="2:9">
      <c r="C54" s="44"/>
      <c r="D54" s="44"/>
      <c r="G54" s="44"/>
      <c r="H54" s="44"/>
      <c r="I54" s="44"/>
    </row>
    <row r="55" spans="2:9">
      <c r="C55" s="44"/>
      <c r="D55" s="44"/>
    </row>
    <row r="56" spans="2:9">
      <c r="C56" s="43" t="s">
        <v>34</v>
      </c>
      <c r="D56" s="43"/>
      <c r="G56" s="44" t="s">
        <v>34</v>
      </c>
      <c r="H56" s="44"/>
      <c r="I56" s="44"/>
    </row>
    <row r="57" spans="2:9">
      <c r="C57" s="44" t="s">
        <v>35</v>
      </c>
      <c r="D57" s="44"/>
      <c r="G57" s="11" t="s">
        <v>35</v>
      </c>
    </row>
    <row r="59" spans="2:9">
      <c r="B59" s="13"/>
      <c r="C59" s="43" t="s">
        <v>36</v>
      </c>
      <c r="D59" s="44"/>
      <c r="G59" s="44"/>
      <c r="H59" s="44"/>
      <c r="I59" s="44"/>
    </row>
    <row r="60" spans="2:9">
      <c r="C60" s="44" t="s">
        <v>37</v>
      </c>
      <c r="D60" s="44"/>
      <c r="G60" s="44" t="s">
        <v>37</v>
      </c>
      <c r="H60" s="44"/>
      <c r="I60" s="44"/>
    </row>
  </sheetData>
  <mergeCells count="27">
    <mergeCell ref="L15:L16"/>
    <mergeCell ref="C57:D57"/>
    <mergeCell ref="C59:D59"/>
    <mergeCell ref="G59:I59"/>
    <mergeCell ref="C60:D60"/>
    <mergeCell ref="G60:I60"/>
    <mergeCell ref="C54:D54"/>
    <mergeCell ref="G54:I54"/>
    <mergeCell ref="C55:D55"/>
    <mergeCell ref="C56:D56"/>
    <mergeCell ref="G56:I56"/>
    <mergeCell ref="A9:N9"/>
    <mergeCell ref="A10:N10"/>
    <mergeCell ref="A11:N11"/>
    <mergeCell ref="A14:A16"/>
    <mergeCell ref="B14:C14"/>
    <mergeCell ref="D14:J14"/>
    <mergeCell ref="L14:M14"/>
    <mergeCell ref="N14:N16"/>
    <mergeCell ref="D15:D16"/>
    <mergeCell ref="E15:F15"/>
    <mergeCell ref="M15:M16"/>
    <mergeCell ref="G15:G16"/>
    <mergeCell ref="H15:H16"/>
    <mergeCell ref="I15:I16"/>
    <mergeCell ref="J15:J16"/>
    <mergeCell ref="K15:K16"/>
  </mergeCells>
  <pageMargins left="0.7" right="0.7" top="0.75" bottom="0.75" header="0.3" footer="0.3"/>
  <pageSetup paperSize="9"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C2E4-C5DC-44FE-A8AC-767CBF1BDC40}">
  <sheetPr>
    <pageSetUpPr fitToPage="1"/>
  </sheetPr>
  <dimension ref="A8:S60"/>
  <sheetViews>
    <sheetView showGridLines="0" topLeftCell="A15" zoomScale="80" zoomScaleNormal="80" workbookViewId="0">
      <selection activeCell="N39" sqref="N39"/>
    </sheetView>
  </sheetViews>
  <sheetFormatPr defaultColWidth="9" defaultRowHeight="14.4"/>
  <cols>
    <col min="1" max="1" width="15.88671875" style="23" customWidth="1"/>
    <col min="2" max="2" width="16.44140625" style="11" customWidth="1"/>
    <col min="3" max="3" width="18.44140625" style="11" customWidth="1"/>
    <col min="4" max="4" width="12.6640625" style="11" customWidth="1"/>
    <col min="5" max="5" width="11.44140625" style="11" customWidth="1"/>
    <col min="6" max="6" width="12.109375" style="11" customWidth="1"/>
    <col min="7" max="7" width="11.109375" style="11" customWidth="1"/>
    <col min="8" max="8" width="9.44140625" style="11" customWidth="1"/>
    <col min="9" max="10" width="9" style="11"/>
    <col min="11" max="11" width="9.88671875" style="11" customWidth="1"/>
    <col min="12" max="12" width="11.6640625" style="11" customWidth="1"/>
    <col min="13" max="14" width="16.88671875" style="11" customWidth="1"/>
    <col min="15" max="15" width="12.6640625" customWidth="1"/>
  </cols>
  <sheetData>
    <row r="8" spans="1:14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1:14" ht="23.4">
      <c r="A9" s="48" t="s">
        <v>50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</row>
    <row r="10" spans="1:14">
      <c r="A10" s="50" t="s">
        <v>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>
      <c r="A11" s="51" t="s">
        <v>51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4" spans="1:14">
      <c r="A14" s="45" t="s">
        <v>2</v>
      </c>
      <c r="B14" s="52" t="s">
        <v>3</v>
      </c>
      <c r="C14" s="52"/>
      <c r="D14" s="52" t="s">
        <v>4</v>
      </c>
      <c r="E14" s="52"/>
      <c r="F14" s="52"/>
      <c r="G14" s="52"/>
      <c r="H14" s="52"/>
      <c r="I14" s="52"/>
      <c r="J14" s="52"/>
      <c r="K14" s="6" t="s">
        <v>5</v>
      </c>
      <c r="L14" s="42" t="s">
        <v>6</v>
      </c>
      <c r="M14" s="42"/>
      <c r="N14" s="42" t="s">
        <v>7</v>
      </c>
    </row>
    <row r="15" spans="1:14">
      <c r="A15" s="45"/>
      <c r="B15" s="17" t="s">
        <v>8</v>
      </c>
      <c r="C15" s="17" t="s">
        <v>9</v>
      </c>
      <c r="D15" s="46" t="s">
        <v>47</v>
      </c>
      <c r="E15" s="47" t="s">
        <v>10</v>
      </c>
      <c r="F15" s="47"/>
      <c r="G15" s="41" t="s">
        <v>11</v>
      </c>
      <c r="H15" s="41" t="s">
        <v>12</v>
      </c>
      <c r="I15" s="41" t="s">
        <v>13</v>
      </c>
      <c r="J15" s="41" t="s">
        <v>14</v>
      </c>
      <c r="K15" s="41" t="s">
        <v>15</v>
      </c>
      <c r="L15" s="41" t="s">
        <v>16</v>
      </c>
      <c r="M15" s="41" t="s">
        <v>17</v>
      </c>
      <c r="N15" s="42"/>
    </row>
    <row r="16" spans="1:14" ht="36">
      <c r="A16" s="45"/>
      <c r="B16" s="19" t="s">
        <v>18</v>
      </c>
      <c r="C16" s="19" t="s">
        <v>18</v>
      </c>
      <c r="D16" s="41"/>
      <c r="E16" s="20" t="s">
        <v>19</v>
      </c>
      <c r="F16" s="20" t="s">
        <v>20</v>
      </c>
      <c r="G16" s="41"/>
      <c r="H16" s="41"/>
      <c r="I16" s="41"/>
      <c r="J16" s="41"/>
      <c r="K16" s="41"/>
      <c r="L16" s="41"/>
      <c r="M16" s="41"/>
      <c r="N16" s="42"/>
    </row>
    <row r="17" spans="1:16" ht="15.6">
      <c r="A17" s="38" t="s">
        <v>52</v>
      </c>
      <c r="B17" s="39">
        <v>238.1</v>
      </c>
      <c r="C17" s="2">
        <v>380.95</v>
      </c>
      <c r="D17" s="2">
        <f>B17*0.12</f>
        <v>28.571999999999999</v>
      </c>
      <c r="E17" s="2">
        <v>0</v>
      </c>
      <c r="F17" s="34">
        <v>0</v>
      </c>
      <c r="G17" s="2">
        <v>0</v>
      </c>
      <c r="H17" s="2">
        <v>152.38</v>
      </c>
      <c r="I17" s="2">
        <v>0</v>
      </c>
      <c r="J17" s="2">
        <v>0</v>
      </c>
      <c r="K17" s="2">
        <v>0</v>
      </c>
      <c r="L17" s="2">
        <v>61.9</v>
      </c>
      <c r="M17" s="2">
        <v>0</v>
      </c>
      <c r="N17" s="2">
        <f>SUM(B17:M17)</f>
        <v>861.90199999999993</v>
      </c>
    </row>
    <row r="18" spans="1:16" ht="15.6">
      <c r="A18" s="38" t="s">
        <v>53</v>
      </c>
      <c r="B18" s="39">
        <v>267.86</v>
      </c>
      <c r="C18" s="2">
        <v>0</v>
      </c>
      <c r="D18" s="2">
        <f>B18*0.12</f>
        <v>32.1432</v>
      </c>
      <c r="E18" s="2">
        <v>0</v>
      </c>
      <c r="F18" s="34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26.79</v>
      </c>
      <c r="M18" s="2"/>
      <c r="N18" s="2">
        <f t="shared" ref="N18:N19" si="0">SUM(B18:M18)</f>
        <v>326.79320000000001</v>
      </c>
    </row>
    <row r="19" spans="1:16" ht="15.6">
      <c r="A19" s="38" t="s">
        <v>54</v>
      </c>
      <c r="B19" s="40">
        <f>357.14-35.71</f>
        <v>321.43</v>
      </c>
      <c r="C19" s="2">
        <v>0</v>
      </c>
      <c r="D19" s="2">
        <f>B19*0.12</f>
        <v>38.571599999999997</v>
      </c>
      <c r="E19" s="2">
        <f>35.71+4.2852</f>
        <v>39.995199999999997</v>
      </c>
      <c r="F19" s="34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32.53</v>
      </c>
      <c r="M19" s="2"/>
      <c r="N19" s="2">
        <f t="shared" si="0"/>
        <v>432.52679999999998</v>
      </c>
    </row>
    <row r="21" spans="1:16">
      <c r="A21" s="23" t="s">
        <v>21</v>
      </c>
      <c r="B21" s="25">
        <f t="shared" ref="B21:N21" si="1">SUM(B17:B19)</f>
        <v>827.3900000000001</v>
      </c>
      <c r="C21" s="25">
        <f t="shared" si="1"/>
        <v>380.95</v>
      </c>
      <c r="D21" s="25">
        <f t="shared" si="1"/>
        <v>99.286799999999999</v>
      </c>
      <c r="E21" s="33">
        <f t="shared" si="1"/>
        <v>39.995199999999997</v>
      </c>
      <c r="F21" s="33">
        <f t="shared" si="1"/>
        <v>0</v>
      </c>
      <c r="G21" s="33">
        <f t="shared" si="1"/>
        <v>0</v>
      </c>
      <c r="H21" s="33">
        <f t="shared" si="1"/>
        <v>152.38</v>
      </c>
      <c r="I21" s="33">
        <f t="shared" si="1"/>
        <v>0</v>
      </c>
      <c r="J21" s="33">
        <f t="shared" si="1"/>
        <v>0</v>
      </c>
      <c r="K21" s="33">
        <f t="shared" si="1"/>
        <v>0</v>
      </c>
      <c r="L21" s="33">
        <f t="shared" si="1"/>
        <v>121.22</v>
      </c>
      <c r="M21" s="33">
        <f t="shared" si="1"/>
        <v>0</v>
      </c>
      <c r="N21" s="25">
        <f t="shared" si="1"/>
        <v>1621.2219999999998</v>
      </c>
      <c r="P21" s="22"/>
    </row>
    <row r="23" spans="1:16">
      <c r="A23" s="23" t="s">
        <v>22</v>
      </c>
      <c r="B23" s="11" t="s">
        <v>23</v>
      </c>
      <c r="N23" s="11">
        <f>+E21</f>
        <v>39.995199999999997</v>
      </c>
    </row>
    <row r="24" spans="1:16">
      <c r="B24" s="32" t="s">
        <v>48</v>
      </c>
      <c r="N24" s="11">
        <f>F21</f>
        <v>0</v>
      </c>
    </row>
    <row r="25" spans="1:16">
      <c r="B25" s="32" t="s">
        <v>49</v>
      </c>
      <c r="N25" s="11">
        <f>G21</f>
        <v>0</v>
      </c>
    </row>
    <row r="26" spans="1:16">
      <c r="B26" s="11" t="s">
        <v>24</v>
      </c>
      <c r="N26" s="11">
        <f>+J21</f>
        <v>0</v>
      </c>
    </row>
    <row r="27" spans="1:16">
      <c r="B27" s="11" t="s">
        <v>25</v>
      </c>
      <c r="N27" s="11">
        <f>+C21</f>
        <v>380.95</v>
      </c>
    </row>
    <row r="28" spans="1:16">
      <c r="B28" s="32" t="s">
        <v>26</v>
      </c>
      <c r="N28" s="11">
        <f>+H21+I21</f>
        <v>152.38</v>
      </c>
    </row>
    <row r="29" spans="1:16">
      <c r="B29" s="11" t="s">
        <v>5</v>
      </c>
      <c r="N29" s="11">
        <f>+K21</f>
        <v>0</v>
      </c>
    </row>
    <row r="30" spans="1:16">
      <c r="B30" s="11" t="s">
        <v>27</v>
      </c>
      <c r="N30" s="11">
        <f>+L21</f>
        <v>121.22</v>
      </c>
    </row>
    <row r="31" spans="1:16">
      <c r="B31" s="11" t="s">
        <v>28</v>
      </c>
      <c r="N31" s="11">
        <f>+M21</f>
        <v>0</v>
      </c>
    </row>
    <row r="32" spans="1:16" ht="7.5" customHeight="1"/>
    <row r="33" spans="1:19" s="35" customFormat="1">
      <c r="A33" s="35" t="s">
        <v>3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>
        <f>+N21-N23-N26-N27-N28-N29-N30-N31-N24-N25</f>
        <v>926.6767999999995</v>
      </c>
      <c r="O33" s="37"/>
      <c r="Q33" s="37"/>
      <c r="S33" s="36"/>
    </row>
    <row r="34" spans="1:19" ht="15" thickBot="1">
      <c r="A34" t="s">
        <v>29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8">
        <f>(N33/1.12)*0.12</f>
        <v>99.286799999999943</v>
      </c>
      <c r="O34" s="22"/>
      <c r="S34" s="1"/>
    </row>
    <row r="35" spans="1:19">
      <c r="A3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S35" s="1"/>
    </row>
    <row r="36" spans="1:19">
      <c r="A3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f>N33-N34</f>
        <v>827.38999999999953</v>
      </c>
      <c r="P36" s="22"/>
      <c r="S36" s="1"/>
    </row>
    <row r="37" spans="1:19">
      <c r="A3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9">
      <c r="A38"/>
      <c r="B38" s="4" t="s">
        <v>30</v>
      </c>
      <c r="C38" s="5" t="s">
        <v>25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>
        <f>+C21</f>
        <v>380.95</v>
      </c>
    </row>
    <row r="39" spans="1:19">
      <c r="A39"/>
      <c r="B39" s="4"/>
      <c r="C39" s="5" t="s">
        <v>48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>
        <f>F21</f>
        <v>0</v>
      </c>
    </row>
    <row r="40" spans="1:19">
      <c r="A40"/>
      <c r="B40" s="1"/>
      <c r="C40" s="1" t="s">
        <v>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>
        <f>+K21</f>
        <v>0</v>
      </c>
    </row>
    <row r="41" spans="1:19">
      <c r="A41"/>
      <c r="B41" s="1"/>
      <c r="C41" s="1" t="s">
        <v>28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5">
        <f>+M21</f>
        <v>0</v>
      </c>
    </row>
    <row r="42" spans="1:19" ht="6" customHeight="1">
      <c r="A4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9" ht="15" thickBot="1">
      <c r="A43"/>
      <c r="B43" s="9" t="s">
        <v>31</v>
      </c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6">
        <f>SUM(N36:N41)</f>
        <v>1208.3399999999995</v>
      </c>
      <c r="O43" s="22"/>
    </row>
    <row r="51" spans="2:9">
      <c r="C51" s="11" t="s">
        <v>32</v>
      </c>
      <c r="G51" s="11" t="s">
        <v>33</v>
      </c>
    </row>
    <row r="54" spans="2:9">
      <c r="C54" s="44"/>
      <c r="D54" s="44"/>
      <c r="G54" s="44"/>
      <c r="H54" s="44"/>
      <c r="I54" s="44"/>
    </row>
    <row r="55" spans="2:9">
      <c r="C55" s="44"/>
      <c r="D55" s="44"/>
    </row>
    <row r="56" spans="2:9">
      <c r="C56" s="43" t="s">
        <v>34</v>
      </c>
      <c r="D56" s="43"/>
      <c r="G56" s="44" t="s">
        <v>34</v>
      </c>
      <c r="H56" s="44"/>
      <c r="I56" s="44"/>
    </row>
    <row r="57" spans="2:9">
      <c r="C57" s="44" t="s">
        <v>35</v>
      </c>
      <c r="D57" s="44"/>
      <c r="G57" s="11" t="s">
        <v>35</v>
      </c>
    </row>
    <row r="59" spans="2:9">
      <c r="B59" s="13"/>
      <c r="C59" s="43" t="s">
        <v>36</v>
      </c>
      <c r="D59" s="44"/>
      <c r="G59" s="44"/>
      <c r="H59" s="44"/>
      <c r="I59" s="44"/>
    </row>
    <row r="60" spans="2:9">
      <c r="C60" s="44" t="s">
        <v>37</v>
      </c>
      <c r="D60" s="44"/>
      <c r="G60" s="44" t="s">
        <v>37</v>
      </c>
      <c r="H60" s="44"/>
      <c r="I60" s="44"/>
    </row>
  </sheetData>
  <mergeCells count="27">
    <mergeCell ref="A9:N9"/>
    <mergeCell ref="A10:N10"/>
    <mergeCell ref="A11:N11"/>
    <mergeCell ref="A14:A16"/>
    <mergeCell ref="B14:C14"/>
    <mergeCell ref="D14:J14"/>
    <mergeCell ref="L14:M14"/>
    <mergeCell ref="N14:N16"/>
    <mergeCell ref="D15:D16"/>
    <mergeCell ref="E15:F15"/>
    <mergeCell ref="M15:M16"/>
    <mergeCell ref="C54:D54"/>
    <mergeCell ref="G54:I54"/>
    <mergeCell ref="C55:D55"/>
    <mergeCell ref="C56:D56"/>
    <mergeCell ref="G56:I56"/>
    <mergeCell ref="G15:G16"/>
    <mergeCell ref="H15:H16"/>
    <mergeCell ref="I15:I16"/>
    <mergeCell ref="J15:J16"/>
    <mergeCell ref="K15:K16"/>
    <mergeCell ref="L15:L16"/>
    <mergeCell ref="C57:D57"/>
    <mergeCell ref="C59:D59"/>
    <mergeCell ref="G59:I59"/>
    <mergeCell ref="C60:D60"/>
    <mergeCell ref="G60:I60"/>
  </mergeCells>
  <pageMargins left="0.7" right="0.7" top="0.75" bottom="0.75" header="0.3" footer="0.3"/>
  <pageSetup paperSize="9"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8:S85"/>
  <sheetViews>
    <sheetView showGridLines="0" topLeftCell="A43" zoomScale="55" zoomScaleNormal="55" workbookViewId="0">
      <selection activeCell="N60" sqref="N60"/>
    </sheetView>
  </sheetViews>
  <sheetFormatPr defaultColWidth="9" defaultRowHeight="14.4"/>
  <cols>
    <col min="1" max="1" width="5.44140625" customWidth="1"/>
    <col min="2" max="2" width="16.44140625" style="1" customWidth="1"/>
    <col min="3" max="3" width="18.44140625" style="1" customWidth="1"/>
    <col min="4" max="4" width="12.6640625" style="1" customWidth="1"/>
    <col min="5" max="5" width="11.44140625" style="1" customWidth="1"/>
    <col min="6" max="6" width="12.109375" style="1" customWidth="1"/>
    <col min="7" max="7" width="11.109375" style="1" customWidth="1"/>
    <col min="8" max="8" width="9.44140625" style="1" customWidth="1"/>
    <col min="9" max="10" width="8.88671875" style="1"/>
    <col min="11" max="11" width="9.88671875" style="1" customWidth="1"/>
    <col min="12" max="12" width="11.6640625" style="1" customWidth="1"/>
    <col min="13" max="13" width="15.21875" style="1" customWidth="1"/>
    <col min="14" max="14" width="16.88671875" style="1" customWidth="1"/>
    <col min="15" max="16" width="10.33203125" bestFit="1" customWidth="1"/>
    <col min="17" max="17" width="11.21875" customWidth="1"/>
    <col min="19" max="19" width="12.109375" customWidth="1"/>
  </cols>
  <sheetData>
    <row r="8" spans="1:14">
      <c r="C8"/>
    </row>
    <row r="9" spans="1:14">
      <c r="A9" s="50" t="s">
        <v>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>
      <c r="A10" s="50" t="s">
        <v>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>
      <c r="A11" s="50" t="s">
        <v>38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4" spans="1:14">
      <c r="A14" s="45" t="s">
        <v>2</v>
      </c>
      <c r="B14" s="52" t="s">
        <v>3</v>
      </c>
      <c r="C14" s="52"/>
      <c r="D14" s="52" t="s">
        <v>4</v>
      </c>
      <c r="E14" s="52"/>
      <c r="F14" s="52"/>
      <c r="G14" s="52"/>
      <c r="H14" s="52"/>
      <c r="I14" s="52"/>
      <c r="J14" s="52"/>
      <c r="K14" s="6" t="s">
        <v>5</v>
      </c>
      <c r="L14" s="42" t="s">
        <v>6</v>
      </c>
      <c r="M14" s="42"/>
      <c r="N14" s="42" t="s">
        <v>7</v>
      </c>
    </row>
    <row r="15" spans="1:14">
      <c r="A15" s="45"/>
      <c r="B15" s="17" t="s">
        <v>8</v>
      </c>
      <c r="C15" s="17" t="s">
        <v>9</v>
      </c>
      <c r="D15" s="41" t="s">
        <v>39</v>
      </c>
      <c r="E15" s="47" t="s">
        <v>10</v>
      </c>
      <c r="F15" s="47"/>
      <c r="G15" s="41" t="s">
        <v>11</v>
      </c>
      <c r="H15" s="41" t="s">
        <v>12</v>
      </c>
      <c r="I15" s="41" t="s">
        <v>13</v>
      </c>
      <c r="J15" s="41" t="s">
        <v>14</v>
      </c>
      <c r="K15" s="41" t="s">
        <v>15</v>
      </c>
      <c r="L15" s="41" t="s">
        <v>16</v>
      </c>
      <c r="M15" s="41" t="s">
        <v>17</v>
      </c>
      <c r="N15" s="42"/>
    </row>
    <row r="16" spans="1:14" ht="36">
      <c r="A16" s="45"/>
      <c r="B16" s="19" t="s">
        <v>18</v>
      </c>
      <c r="C16" s="19" t="s">
        <v>18</v>
      </c>
      <c r="D16" s="41"/>
      <c r="E16" s="20" t="s">
        <v>19</v>
      </c>
      <c r="F16" s="20" t="s">
        <v>20</v>
      </c>
      <c r="G16" s="41"/>
      <c r="H16" s="41"/>
      <c r="I16" s="41"/>
      <c r="J16" s="41"/>
      <c r="K16" s="41"/>
      <c r="L16" s="41"/>
      <c r="M16" s="41"/>
      <c r="N16" s="42"/>
    </row>
    <row r="17" spans="1:15">
      <c r="A17" s="18">
        <v>1</v>
      </c>
      <c r="B17" s="24">
        <v>13889</v>
      </c>
      <c r="C17" s="2"/>
      <c r="D17" s="2"/>
      <c r="E17" s="2"/>
      <c r="F17" s="2"/>
      <c r="G17" s="2"/>
      <c r="H17" s="2">
        <v>35.35</v>
      </c>
      <c r="I17" s="2">
        <v>15.89</v>
      </c>
      <c r="J17" s="2"/>
      <c r="K17" s="2"/>
      <c r="L17" s="2"/>
      <c r="M17" s="2"/>
      <c r="N17" s="2">
        <f>SUM(B17:M17)</f>
        <v>13940.24</v>
      </c>
      <c r="O17" s="21"/>
    </row>
    <row r="18" spans="1:15">
      <c r="A18" s="18">
        <v>2</v>
      </c>
      <c r="B18" s="2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f t="shared" ref="N18:N47" si="0">SUM(B18:M18)</f>
        <v>0</v>
      </c>
    </row>
    <row r="19" spans="1:15">
      <c r="A19" s="18">
        <v>3</v>
      </c>
      <c r="B19" s="2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f t="shared" si="0"/>
        <v>0</v>
      </c>
    </row>
    <row r="20" spans="1:15">
      <c r="A20" s="18">
        <v>4</v>
      </c>
      <c r="B20" s="2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f t="shared" si="0"/>
        <v>0</v>
      </c>
    </row>
    <row r="21" spans="1:15">
      <c r="A21" s="18">
        <v>5</v>
      </c>
      <c r="B21" s="2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>
        <f t="shared" si="0"/>
        <v>0</v>
      </c>
    </row>
    <row r="22" spans="1:15">
      <c r="A22" s="18">
        <v>6</v>
      </c>
      <c r="B22" s="2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>
        <f t="shared" si="0"/>
        <v>0</v>
      </c>
    </row>
    <row r="23" spans="1:15">
      <c r="A23" s="18">
        <v>7</v>
      </c>
      <c r="B23" s="2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>
        <f t="shared" si="0"/>
        <v>0</v>
      </c>
    </row>
    <row r="24" spans="1:15">
      <c r="A24" s="18">
        <v>8</v>
      </c>
      <c r="B24" s="2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f t="shared" si="0"/>
        <v>0</v>
      </c>
    </row>
    <row r="25" spans="1:15">
      <c r="A25" s="18">
        <v>9</v>
      </c>
      <c r="B25" s="2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>
        <f t="shared" si="0"/>
        <v>0</v>
      </c>
    </row>
    <row r="26" spans="1:15">
      <c r="A26" s="18">
        <v>10</v>
      </c>
      <c r="B26" s="2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f t="shared" si="0"/>
        <v>0</v>
      </c>
    </row>
    <row r="27" spans="1:15">
      <c r="A27" s="18">
        <v>11</v>
      </c>
      <c r="B27" s="2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>
        <f t="shared" si="0"/>
        <v>0</v>
      </c>
    </row>
    <row r="28" spans="1:15">
      <c r="A28" s="18">
        <v>12</v>
      </c>
      <c r="B28" s="2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f t="shared" si="0"/>
        <v>0</v>
      </c>
    </row>
    <row r="29" spans="1:15">
      <c r="A29" s="18">
        <v>13</v>
      </c>
      <c r="B29" s="2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f t="shared" si="0"/>
        <v>0</v>
      </c>
    </row>
    <row r="30" spans="1:15">
      <c r="A30" s="18">
        <v>14</v>
      </c>
      <c r="B30" s="2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f t="shared" si="0"/>
        <v>0</v>
      </c>
    </row>
    <row r="31" spans="1:15">
      <c r="A31" s="18">
        <v>15</v>
      </c>
      <c r="B31" s="2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f t="shared" si="0"/>
        <v>0</v>
      </c>
    </row>
    <row r="32" spans="1:15">
      <c r="A32" s="18">
        <v>16</v>
      </c>
      <c r="B32" s="2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f t="shared" si="0"/>
        <v>0</v>
      </c>
    </row>
    <row r="33" spans="1:14">
      <c r="A33" s="18">
        <v>17</v>
      </c>
      <c r="B33" s="2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f t="shared" si="0"/>
        <v>0</v>
      </c>
    </row>
    <row r="34" spans="1:14">
      <c r="A34" s="18">
        <v>18</v>
      </c>
      <c r="B34" s="2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f t="shared" si="0"/>
        <v>0</v>
      </c>
    </row>
    <row r="35" spans="1:14">
      <c r="A35" s="18">
        <v>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>
        <f t="shared" si="0"/>
        <v>0</v>
      </c>
    </row>
    <row r="36" spans="1:14">
      <c r="A36" s="18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f t="shared" si="0"/>
        <v>0</v>
      </c>
    </row>
    <row r="37" spans="1:14">
      <c r="A37" s="18">
        <v>21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f t="shared" si="0"/>
        <v>0</v>
      </c>
    </row>
    <row r="38" spans="1:14">
      <c r="A38" s="18">
        <v>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>
        <f t="shared" si="0"/>
        <v>0</v>
      </c>
    </row>
    <row r="39" spans="1:14">
      <c r="A39" s="18">
        <v>23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>
        <f t="shared" si="0"/>
        <v>0</v>
      </c>
    </row>
    <row r="40" spans="1:14">
      <c r="A40" s="18">
        <v>24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f t="shared" si="0"/>
        <v>0</v>
      </c>
    </row>
    <row r="41" spans="1:14">
      <c r="A41" s="18">
        <v>25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f t="shared" si="0"/>
        <v>0</v>
      </c>
    </row>
    <row r="42" spans="1:14">
      <c r="A42" s="18">
        <v>26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f t="shared" si="0"/>
        <v>0</v>
      </c>
    </row>
    <row r="43" spans="1:14">
      <c r="A43" s="18">
        <v>27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f t="shared" si="0"/>
        <v>0</v>
      </c>
    </row>
    <row r="44" spans="1:14">
      <c r="A44" s="18">
        <v>28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f t="shared" si="0"/>
        <v>0</v>
      </c>
    </row>
    <row r="45" spans="1:14">
      <c r="A45" s="18">
        <v>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f t="shared" si="0"/>
        <v>0</v>
      </c>
    </row>
    <row r="46" spans="1:14">
      <c r="A46" s="18">
        <v>30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>
        <f t="shared" si="0"/>
        <v>0</v>
      </c>
    </row>
    <row r="47" spans="1:14">
      <c r="A47" s="18">
        <v>31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f t="shared" si="0"/>
        <v>0</v>
      </c>
    </row>
    <row r="49" spans="1:19">
      <c r="A49" t="s">
        <v>21</v>
      </c>
      <c r="B49" s="3">
        <f t="shared" ref="B49:N49" si="1">SUM(B17:B47)</f>
        <v>13889</v>
      </c>
      <c r="C49" s="3">
        <f t="shared" si="1"/>
        <v>0</v>
      </c>
      <c r="D49" s="3">
        <f t="shared" si="1"/>
        <v>0</v>
      </c>
      <c r="E49" s="3">
        <f t="shared" si="1"/>
        <v>0</v>
      </c>
      <c r="F49" s="3">
        <f t="shared" si="1"/>
        <v>0</v>
      </c>
      <c r="G49" s="3">
        <f t="shared" si="1"/>
        <v>0</v>
      </c>
      <c r="H49" s="3">
        <f t="shared" si="1"/>
        <v>35.35</v>
      </c>
      <c r="I49" s="3">
        <f t="shared" si="1"/>
        <v>15.89</v>
      </c>
      <c r="J49" s="3">
        <f t="shared" si="1"/>
        <v>0</v>
      </c>
      <c r="K49" s="3">
        <f t="shared" si="1"/>
        <v>0</v>
      </c>
      <c r="L49" s="3">
        <f t="shared" si="1"/>
        <v>0</v>
      </c>
      <c r="M49" s="3">
        <f t="shared" si="1"/>
        <v>0</v>
      </c>
      <c r="N49" s="3">
        <f t="shared" si="1"/>
        <v>13940.24</v>
      </c>
    </row>
    <row r="51" spans="1:19">
      <c r="A51" t="s">
        <v>22</v>
      </c>
      <c r="B51" s="1" t="s">
        <v>23</v>
      </c>
      <c r="N51" s="1">
        <f>+E49</f>
        <v>0</v>
      </c>
    </row>
    <row r="52" spans="1:19">
      <c r="B52" s="1" t="s">
        <v>24</v>
      </c>
      <c r="N52" s="1">
        <f>+J49</f>
        <v>0</v>
      </c>
    </row>
    <row r="53" spans="1:19">
      <c r="B53" s="1" t="s">
        <v>25</v>
      </c>
      <c r="N53" s="1">
        <f>+C49</f>
        <v>0</v>
      </c>
    </row>
    <row r="54" spans="1:19">
      <c r="B54" s="1" t="s">
        <v>26</v>
      </c>
      <c r="N54" s="1">
        <f>+H49+I49</f>
        <v>51.24</v>
      </c>
    </row>
    <row r="55" spans="1:19">
      <c r="B55" s="1" t="s">
        <v>5</v>
      </c>
      <c r="N55" s="1">
        <f>+K49</f>
        <v>0</v>
      </c>
    </row>
    <row r="56" spans="1:19">
      <c r="B56" s="1" t="s">
        <v>27</v>
      </c>
      <c r="N56" s="1">
        <f>+L49</f>
        <v>0</v>
      </c>
    </row>
    <row r="57" spans="1:19">
      <c r="B57" s="1" t="s">
        <v>28</v>
      </c>
      <c r="N57" s="7">
        <f>+M49</f>
        <v>0</v>
      </c>
    </row>
    <row r="58" spans="1:19" ht="7.5" customHeight="1"/>
    <row r="59" spans="1:19">
      <c r="A59" t="s">
        <v>3</v>
      </c>
      <c r="N59" s="1">
        <f>+N49-N51-N52-N53-N54-N55-N56-N57</f>
        <v>13889</v>
      </c>
      <c r="O59" s="22"/>
      <c r="Q59" s="22"/>
      <c r="S59" s="1"/>
    </row>
    <row r="60" spans="1:19">
      <c r="A60" t="s">
        <v>29</v>
      </c>
      <c r="N60" s="8">
        <f>N59*0.12</f>
        <v>1666.6799999999998</v>
      </c>
      <c r="O60" s="22"/>
      <c r="S60" s="1"/>
    </row>
    <row r="61" spans="1:19">
      <c r="S61" s="1"/>
    </row>
    <row r="62" spans="1:19">
      <c r="N62" s="1">
        <f>N59-N60</f>
        <v>12222.32</v>
      </c>
      <c r="P62" s="22"/>
      <c r="S62" s="1"/>
    </row>
    <row r="64" spans="1:19">
      <c r="B64" s="4" t="s">
        <v>30</v>
      </c>
      <c r="C64" s="5" t="s">
        <v>25</v>
      </c>
      <c r="N64" s="1">
        <f>+C49</f>
        <v>0</v>
      </c>
    </row>
    <row r="65" spans="2:15">
      <c r="C65" s="1" t="s">
        <v>5</v>
      </c>
      <c r="N65" s="1">
        <f>+K49</f>
        <v>0</v>
      </c>
    </row>
    <row r="66" spans="2:15">
      <c r="C66" s="1" t="s">
        <v>28</v>
      </c>
      <c r="N66" s="15">
        <f>+M49</f>
        <v>0</v>
      </c>
    </row>
    <row r="67" spans="2:15" ht="6" customHeight="1">
      <c r="N67" s="11"/>
    </row>
    <row r="68" spans="2:15">
      <c r="B68" s="9" t="s">
        <v>31</v>
      </c>
      <c r="C68" s="10"/>
      <c r="N68" s="16">
        <f>SUM(N62:N66)</f>
        <v>12222.32</v>
      </c>
      <c r="O68" s="22"/>
    </row>
    <row r="76" spans="2:15">
      <c r="C76" s="1" t="s">
        <v>32</v>
      </c>
      <c r="G76" s="1" t="s">
        <v>33</v>
      </c>
    </row>
    <row r="79" spans="2:15">
      <c r="B79" s="11"/>
      <c r="C79" s="53"/>
      <c r="D79" s="53"/>
      <c r="F79" s="11"/>
      <c r="G79" s="53"/>
      <c r="H79" s="53"/>
      <c r="I79" s="53"/>
    </row>
    <row r="80" spans="2:15">
      <c r="B80" s="10"/>
      <c r="C80" s="55" t="s">
        <v>35</v>
      </c>
      <c r="D80" s="55"/>
      <c r="F80" s="10"/>
      <c r="G80" s="10" t="s">
        <v>35</v>
      </c>
      <c r="H80" s="10"/>
    </row>
    <row r="81" spans="2:9">
      <c r="B81" s="10"/>
      <c r="C81" s="54" t="s">
        <v>34</v>
      </c>
      <c r="D81" s="54"/>
      <c r="F81" s="10"/>
      <c r="G81" s="54" t="s">
        <v>34</v>
      </c>
      <c r="H81" s="54"/>
      <c r="I81" s="54"/>
    </row>
    <row r="82" spans="2:9">
      <c r="B82" s="10"/>
      <c r="C82" s="12"/>
      <c r="D82" s="12"/>
      <c r="F82" s="10"/>
      <c r="G82" s="12"/>
      <c r="H82" s="12"/>
      <c r="I82" s="12"/>
    </row>
    <row r="84" spans="2:9">
      <c r="B84" s="13"/>
      <c r="C84" s="53"/>
      <c r="D84" s="53"/>
      <c r="F84" s="14"/>
      <c r="G84" s="53"/>
      <c r="H84" s="53"/>
      <c r="I84" s="53"/>
    </row>
    <row r="85" spans="2:9">
      <c r="B85" s="10"/>
      <c r="C85" s="54" t="s">
        <v>37</v>
      </c>
      <c r="D85" s="54"/>
      <c r="F85" s="14"/>
      <c r="G85" s="55" t="s">
        <v>37</v>
      </c>
      <c r="H85" s="55"/>
      <c r="I85" s="55"/>
    </row>
  </sheetData>
  <mergeCells count="26">
    <mergeCell ref="A9:N9"/>
    <mergeCell ref="A10:N10"/>
    <mergeCell ref="A11:N11"/>
    <mergeCell ref="B14:C14"/>
    <mergeCell ref="D14:J14"/>
    <mergeCell ref="L14:M14"/>
    <mergeCell ref="C84:D84"/>
    <mergeCell ref="G84:I84"/>
    <mergeCell ref="C85:D85"/>
    <mergeCell ref="G85:I85"/>
    <mergeCell ref="A14:A16"/>
    <mergeCell ref="D15:D16"/>
    <mergeCell ref="G15:G16"/>
    <mergeCell ref="H15:H16"/>
    <mergeCell ref="I15:I16"/>
    <mergeCell ref="E15:F15"/>
    <mergeCell ref="C79:D79"/>
    <mergeCell ref="G79:I79"/>
    <mergeCell ref="C80:D80"/>
    <mergeCell ref="C81:D81"/>
    <mergeCell ref="G81:I81"/>
    <mergeCell ref="J15:J16"/>
    <mergeCell ref="K15:K16"/>
    <mergeCell ref="L15:L16"/>
    <mergeCell ref="M15:M16"/>
    <mergeCell ref="N14:N16"/>
  </mergeCells>
  <pageMargins left="0.7" right="0.7" top="0.75" bottom="0.75" header="0.3" footer="0.3"/>
  <pageSetup paperSize="9" scale="5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686B-509C-4ED8-AC28-D3CA8BEFAC5D}">
  <sheetPr>
    <pageSetUpPr fitToPage="1"/>
  </sheetPr>
  <dimension ref="A8:S85"/>
  <sheetViews>
    <sheetView showGridLines="0" topLeftCell="A8" zoomScale="55" zoomScaleNormal="55" workbookViewId="0">
      <selection activeCell="R54" sqref="R54"/>
    </sheetView>
  </sheetViews>
  <sheetFormatPr defaultColWidth="9" defaultRowHeight="14.4"/>
  <cols>
    <col min="1" max="1" width="5.44140625" customWidth="1"/>
    <col min="2" max="2" width="16.44140625" style="1" customWidth="1"/>
    <col min="3" max="3" width="18.44140625" style="1" customWidth="1"/>
    <col min="4" max="4" width="12.6640625" style="1" customWidth="1"/>
    <col min="5" max="5" width="11.44140625" style="1" customWidth="1"/>
    <col min="6" max="6" width="12.109375" style="1" customWidth="1"/>
    <col min="7" max="7" width="11.109375" style="1" customWidth="1"/>
    <col min="8" max="8" width="9.44140625" style="1" customWidth="1"/>
    <col min="9" max="10" width="9" style="1"/>
    <col min="11" max="11" width="9.88671875" style="1" customWidth="1"/>
    <col min="12" max="12" width="11.6640625" style="1" customWidth="1"/>
    <col min="13" max="13" width="15.21875" style="1" customWidth="1"/>
    <col min="14" max="14" width="16.88671875" style="1" customWidth="1"/>
    <col min="15" max="16" width="10.33203125" bestFit="1" customWidth="1"/>
    <col min="17" max="17" width="11.21875" customWidth="1"/>
    <col min="19" max="19" width="12.109375" customWidth="1"/>
  </cols>
  <sheetData>
    <row r="8" spans="1:14">
      <c r="C8"/>
    </row>
    <row r="9" spans="1:14">
      <c r="A9" s="50" t="s">
        <v>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>
      <c r="A10" s="50" t="s">
        <v>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>
      <c r="A11" s="50" t="s">
        <v>38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4" spans="1:14">
      <c r="A14" s="45" t="s">
        <v>2</v>
      </c>
      <c r="B14" s="52" t="s">
        <v>3</v>
      </c>
      <c r="C14" s="52"/>
      <c r="D14" s="52" t="s">
        <v>4</v>
      </c>
      <c r="E14" s="52"/>
      <c r="F14" s="52"/>
      <c r="G14" s="52"/>
      <c r="H14" s="52"/>
      <c r="I14" s="52"/>
      <c r="J14" s="52"/>
      <c r="K14" s="6" t="s">
        <v>5</v>
      </c>
      <c r="L14" s="42" t="s">
        <v>6</v>
      </c>
      <c r="M14" s="42"/>
      <c r="N14" s="42" t="s">
        <v>7</v>
      </c>
    </row>
    <row r="15" spans="1:14">
      <c r="A15" s="45"/>
      <c r="B15" s="17" t="s">
        <v>8</v>
      </c>
      <c r="C15" s="17" t="s">
        <v>9</v>
      </c>
      <c r="D15" s="41" t="s">
        <v>39</v>
      </c>
      <c r="E15" s="47" t="s">
        <v>10</v>
      </c>
      <c r="F15" s="47"/>
      <c r="G15" s="41" t="s">
        <v>11</v>
      </c>
      <c r="H15" s="41" t="s">
        <v>12</v>
      </c>
      <c r="I15" s="41" t="s">
        <v>13</v>
      </c>
      <c r="J15" s="41" t="s">
        <v>14</v>
      </c>
      <c r="K15" s="41" t="s">
        <v>15</v>
      </c>
      <c r="L15" s="41" t="s">
        <v>16</v>
      </c>
      <c r="M15" s="41" t="s">
        <v>17</v>
      </c>
      <c r="N15" s="42"/>
    </row>
    <row r="16" spans="1:14" ht="36">
      <c r="A16" s="45"/>
      <c r="B16" s="19" t="s">
        <v>18</v>
      </c>
      <c r="C16" s="19" t="s">
        <v>18</v>
      </c>
      <c r="D16" s="41"/>
      <c r="E16" s="20" t="s">
        <v>19</v>
      </c>
      <c r="F16" s="20" t="s">
        <v>20</v>
      </c>
      <c r="G16" s="41"/>
      <c r="H16" s="41"/>
      <c r="I16" s="41"/>
      <c r="J16" s="41"/>
      <c r="K16" s="41"/>
      <c r="L16" s="41"/>
      <c r="M16" s="41"/>
      <c r="N16" s="42"/>
    </row>
    <row r="17" spans="1:16">
      <c r="A17" s="18">
        <v>1</v>
      </c>
      <c r="B17" s="24">
        <v>19805</v>
      </c>
      <c r="C17" s="2">
        <v>866.07</v>
      </c>
      <c r="D17" s="2"/>
      <c r="E17" s="2"/>
      <c r="F17" s="2"/>
      <c r="G17" s="2"/>
      <c r="H17" s="2">
        <v>103.93</v>
      </c>
      <c r="I17" s="2"/>
      <c r="J17" s="2"/>
      <c r="K17" s="2"/>
      <c r="L17" s="2"/>
      <c r="M17" s="2"/>
      <c r="N17" s="2">
        <f>SUM(B17:M17)</f>
        <v>20775</v>
      </c>
      <c r="O17" s="21"/>
    </row>
    <row r="18" spans="1:16" hidden="1">
      <c r="A18" s="18">
        <v>2</v>
      </c>
      <c r="B18" s="2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f t="shared" ref="N18:N47" si="0">SUM(B18:M18)</f>
        <v>0</v>
      </c>
      <c r="O18" s="22"/>
    </row>
    <row r="19" spans="1:16" hidden="1">
      <c r="A19" s="18">
        <v>3</v>
      </c>
      <c r="B19" s="2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f t="shared" si="0"/>
        <v>0</v>
      </c>
    </row>
    <row r="20" spans="1:16" hidden="1">
      <c r="A20" s="18">
        <v>4</v>
      </c>
      <c r="B20" s="2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f t="shared" si="0"/>
        <v>0</v>
      </c>
      <c r="P20" s="22"/>
    </row>
    <row r="21" spans="1:16" hidden="1">
      <c r="A21" s="18">
        <v>5</v>
      </c>
      <c r="B21" s="2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>
        <f t="shared" si="0"/>
        <v>0</v>
      </c>
    </row>
    <row r="22" spans="1:16" hidden="1">
      <c r="A22" s="18">
        <v>6</v>
      </c>
      <c r="B22" s="2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>
        <f t="shared" si="0"/>
        <v>0</v>
      </c>
    </row>
    <row r="23" spans="1:16" hidden="1">
      <c r="A23" s="18">
        <v>7</v>
      </c>
      <c r="B23" s="2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>
        <f t="shared" si="0"/>
        <v>0</v>
      </c>
    </row>
    <row r="24" spans="1:16" hidden="1">
      <c r="A24" s="18">
        <v>8</v>
      </c>
      <c r="B24" s="2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f t="shared" si="0"/>
        <v>0</v>
      </c>
    </row>
    <row r="25" spans="1:16" hidden="1">
      <c r="A25" s="18">
        <v>9</v>
      </c>
      <c r="B25" s="2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>
        <f t="shared" si="0"/>
        <v>0</v>
      </c>
    </row>
    <row r="26" spans="1:16" hidden="1">
      <c r="A26" s="18">
        <v>10</v>
      </c>
      <c r="B26" s="2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f t="shared" si="0"/>
        <v>0</v>
      </c>
    </row>
    <row r="27" spans="1:16" hidden="1">
      <c r="A27" s="18">
        <v>11</v>
      </c>
      <c r="B27" s="2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>
        <f t="shared" si="0"/>
        <v>0</v>
      </c>
    </row>
    <row r="28" spans="1:16" hidden="1">
      <c r="A28" s="18">
        <v>12</v>
      </c>
      <c r="B28" s="2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f t="shared" si="0"/>
        <v>0</v>
      </c>
    </row>
    <row r="29" spans="1:16" hidden="1">
      <c r="A29" s="18">
        <v>13</v>
      </c>
      <c r="B29" s="2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f t="shared" si="0"/>
        <v>0</v>
      </c>
    </row>
    <row r="30" spans="1:16" hidden="1">
      <c r="A30" s="18">
        <v>14</v>
      </c>
      <c r="B30" s="2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f t="shared" si="0"/>
        <v>0</v>
      </c>
    </row>
    <row r="31" spans="1:16" hidden="1">
      <c r="A31" s="18">
        <v>15</v>
      </c>
      <c r="B31" s="2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f t="shared" si="0"/>
        <v>0</v>
      </c>
    </row>
    <row r="32" spans="1:16" hidden="1">
      <c r="A32" s="18">
        <v>16</v>
      </c>
      <c r="B32" s="2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f t="shared" si="0"/>
        <v>0</v>
      </c>
    </row>
    <row r="33" spans="1:14" hidden="1">
      <c r="A33" s="18">
        <v>17</v>
      </c>
      <c r="B33" s="2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f t="shared" si="0"/>
        <v>0</v>
      </c>
    </row>
    <row r="34" spans="1:14" hidden="1">
      <c r="A34" s="18">
        <v>18</v>
      </c>
      <c r="B34" s="2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f t="shared" si="0"/>
        <v>0</v>
      </c>
    </row>
    <row r="35" spans="1:14" hidden="1">
      <c r="A35" s="18">
        <v>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>
        <f t="shared" si="0"/>
        <v>0</v>
      </c>
    </row>
    <row r="36" spans="1:14" hidden="1">
      <c r="A36" s="18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f t="shared" si="0"/>
        <v>0</v>
      </c>
    </row>
    <row r="37" spans="1:14" hidden="1">
      <c r="A37" s="18">
        <v>21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f t="shared" si="0"/>
        <v>0</v>
      </c>
    </row>
    <row r="38" spans="1:14" hidden="1">
      <c r="A38" s="18">
        <v>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>
        <f t="shared" si="0"/>
        <v>0</v>
      </c>
    </row>
    <row r="39" spans="1:14" hidden="1">
      <c r="A39" s="18">
        <v>23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>
        <f t="shared" si="0"/>
        <v>0</v>
      </c>
    </row>
    <row r="40" spans="1:14" hidden="1">
      <c r="A40" s="18">
        <v>24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f t="shared" si="0"/>
        <v>0</v>
      </c>
    </row>
    <row r="41" spans="1:14" hidden="1">
      <c r="A41" s="18">
        <v>25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f t="shared" si="0"/>
        <v>0</v>
      </c>
    </row>
    <row r="42" spans="1:14" hidden="1">
      <c r="A42" s="18">
        <v>26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f t="shared" si="0"/>
        <v>0</v>
      </c>
    </row>
    <row r="43" spans="1:14" hidden="1">
      <c r="A43" s="18">
        <v>27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f t="shared" si="0"/>
        <v>0</v>
      </c>
    </row>
    <row r="44" spans="1:14" hidden="1">
      <c r="A44" s="18">
        <v>28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f t="shared" si="0"/>
        <v>0</v>
      </c>
    </row>
    <row r="45" spans="1:14" hidden="1">
      <c r="A45" s="18">
        <v>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f t="shared" si="0"/>
        <v>0</v>
      </c>
    </row>
    <row r="46" spans="1:14" hidden="1">
      <c r="A46" s="18">
        <v>30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>
        <f t="shared" si="0"/>
        <v>0</v>
      </c>
    </row>
    <row r="47" spans="1:14" hidden="1">
      <c r="A47" s="18">
        <v>31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f t="shared" si="0"/>
        <v>0</v>
      </c>
    </row>
    <row r="49" spans="1:19" ht="15" thickBot="1">
      <c r="A49" t="s">
        <v>21</v>
      </c>
      <c r="B49" s="3">
        <f t="shared" ref="B49:N49" si="1">SUM(B17:B47)</f>
        <v>19805</v>
      </c>
      <c r="C49" s="3">
        <f t="shared" si="1"/>
        <v>866.07</v>
      </c>
      <c r="D49" s="3">
        <f t="shared" si="1"/>
        <v>0</v>
      </c>
      <c r="E49" s="3">
        <f t="shared" si="1"/>
        <v>0</v>
      </c>
      <c r="F49" s="3">
        <f t="shared" si="1"/>
        <v>0</v>
      </c>
      <c r="G49" s="3">
        <f t="shared" si="1"/>
        <v>0</v>
      </c>
      <c r="H49" s="3">
        <f t="shared" si="1"/>
        <v>103.93</v>
      </c>
      <c r="I49" s="3">
        <f t="shared" si="1"/>
        <v>0</v>
      </c>
      <c r="J49" s="3">
        <f t="shared" si="1"/>
        <v>0</v>
      </c>
      <c r="K49" s="3">
        <f t="shared" si="1"/>
        <v>0</v>
      </c>
      <c r="L49" s="3">
        <f t="shared" si="1"/>
        <v>0</v>
      </c>
      <c r="M49" s="3">
        <f t="shared" si="1"/>
        <v>0</v>
      </c>
      <c r="N49" s="3">
        <f t="shared" si="1"/>
        <v>20775</v>
      </c>
    </row>
    <row r="51" spans="1:19">
      <c r="A51" t="s">
        <v>22</v>
      </c>
      <c r="B51" s="1" t="s">
        <v>23</v>
      </c>
      <c r="N51" s="1">
        <f>+E49</f>
        <v>0</v>
      </c>
    </row>
    <row r="52" spans="1:19">
      <c r="B52" s="1" t="s">
        <v>24</v>
      </c>
      <c r="N52" s="1">
        <f>+J49</f>
        <v>0</v>
      </c>
    </row>
    <row r="53" spans="1:19">
      <c r="B53" s="1" t="s">
        <v>25</v>
      </c>
      <c r="N53" s="1">
        <f>+C49</f>
        <v>866.07</v>
      </c>
    </row>
    <row r="54" spans="1:19">
      <c r="B54" s="1" t="s">
        <v>26</v>
      </c>
      <c r="N54" s="1">
        <f>+H49+I49</f>
        <v>103.93</v>
      </c>
    </row>
    <row r="55" spans="1:19">
      <c r="B55" s="1" t="s">
        <v>5</v>
      </c>
      <c r="N55" s="1">
        <f>+K49</f>
        <v>0</v>
      </c>
    </row>
    <row r="56" spans="1:19">
      <c r="B56" s="1" t="s">
        <v>27</v>
      </c>
      <c r="N56" s="1">
        <f>+L49</f>
        <v>0</v>
      </c>
    </row>
    <row r="57" spans="1:19" ht="15" thickBot="1">
      <c r="B57" s="1" t="s">
        <v>28</v>
      </c>
      <c r="N57" s="7">
        <f>+M49</f>
        <v>0</v>
      </c>
    </row>
    <row r="58" spans="1:19" ht="7.5" customHeight="1"/>
    <row r="59" spans="1:19">
      <c r="A59" t="s">
        <v>3</v>
      </c>
      <c r="N59" s="1">
        <f>+N49-N51-N52-N53-N54-N55-N56-N57</f>
        <v>19805</v>
      </c>
      <c r="O59" s="22"/>
      <c r="Q59" s="22"/>
      <c r="S59" s="1"/>
    </row>
    <row r="60" spans="1:19" ht="15" thickBot="1">
      <c r="A60" t="s">
        <v>29</v>
      </c>
      <c r="N60" s="8">
        <f>(N59/1.12)*0.12</f>
        <v>2121.9642857142858</v>
      </c>
      <c r="O60" s="22"/>
      <c r="S60" s="1"/>
    </row>
    <row r="61" spans="1:19">
      <c r="S61" s="1"/>
    </row>
    <row r="62" spans="1:19">
      <c r="N62" s="1">
        <f>N59-N60</f>
        <v>17683.035714285714</v>
      </c>
      <c r="P62" s="22"/>
      <c r="S62" s="1"/>
    </row>
    <row r="64" spans="1:19">
      <c r="B64" s="4" t="s">
        <v>30</v>
      </c>
      <c r="C64" s="5" t="s">
        <v>25</v>
      </c>
      <c r="N64" s="1">
        <f>+C49</f>
        <v>866.07</v>
      </c>
    </row>
    <row r="65" spans="2:15">
      <c r="C65" s="1" t="s">
        <v>5</v>
      </c>
      <c r="N65" s="1">
        <f>+K49</f>
        <v>0</v>
      </c>
    </row>
    <row r="66" spans="2:15">
      <c r="C66" s="1" t="s">
        <v>28</v>
      </c>
      <c r="N66" s="15">
        <f>+M49</f>
        <v>0</v>
      </c>
    </row>
    <row r="67" spans="2:15" ht="6" customHeight="1">
      <c r="N67" s="11"/>
    </row>
    <row r="68" spans="2:15" ht="15" thickBot="1">
      <c r="B68" s="9" t="s">
        <v>31</v>
      </c>
      <c r="C68" s="10"/>
      <c r="N68" s="16">
        <f>SUM(N62:N66)</f>
        <v>18549.105714285713</v>
      </c>
      <c r="O68" s="22"/>
    </row>
    <row r="76" spans="2:15">
      <c r="C76" s="1" t="s">
        <v>32</v>
      </c>
      <c r="G76" s="1" t="s">
        <v>33</v>
      </c>
    </row>
    <row r="79" spans="2:15">
      <c r="B79" s="11"/>
      <c r="C79" s="53"/>
      <c r="D79" s="53"/>
      <c r="F79" s="11"/>
      <c r="G79" s="53"/>
      <c r="H79" s="53"/>
      <c r="I79" s="53"/>
    </row>
    <row r="80" spans="2:15">
      <c r="B80" s="10"/>
      <c r="C80" s="55" t="s">
        <v>35</v>
      </c>
      <c r="D80" s="55"/>
      <c r="F80" s="10"/>
      <c r="G80" s="10" t="s">
        <v>35</v>
      </c>
      <c r="H80" s="10"/>
    </row>
    <row r="81" spans="2:9">
      <c r="B81" s="10"/>
      <c r="C81" s="54" t="s">
        <v>34</v>
      </c>
      <c r="D81" s="54"/>
      <c r="F81" s="10"/>
      <c r="G81" s="54" t="s">
        <v>34</v>
      </c>
      <c r="H81" s="54"/>
      <c r="I81" s="54"/>
    </row>
    <row r="82" spans="2:9">
      <c r="B82" s="10"/>
      <c r="C82" s="12"/>
      <c r="D82" s="12"/>
      <c r="F82" s="10"/>
      <c r="G82" s="12"/>
      <c r="H82" s="12"/>
      <c r="I82" s="12"/>
    </row>
    <row r="84" spans="2:9">
      <c r="B84" s="13"/>
      <c r="C84" s="53"/>
      <c r="D84" s="53"/>
      <c r="F84" s="14"/>
      <c r="G84" s="53"/>
      <c r="H84" s="53"/>
      <c r="I84" s="53"/>
    </row>
    <row r="85" spans="2:9">
      <c r="B85" s="10"/>
      <c r="C85" s="54" t="s">
        <v>37</v>
      </c>
      <c r="D85" s="54"/>
      <c r="F85" s="14"/>
      <c r="G85" s="55" t="s">
        <v>37</v>
      </c>
      <c r="H85" s="55"/>
      <c r="I85" s="55"/>
    </row>
  </sheetData>
  <mergeCells count="26">
    <mergeCell ref="A9:N9"/>
    <mergeCell ref="A10:N10"/>
    <mergeCell ref="A11:N11"/>
    <mergeCell ref="A14:A16"/>
    <mergeCell ref="B14:C14"/>
    <mergeCell ref="D14:J14"/>
    <mergeCell ref="L14:M14"/>
    <mergeCell ref="N14:N16"/>
    <mergeCell ref="D15:D16"/>
    <mergeCell ref="E15:F15"/>
    <mergeCell ref="C84:D84"/>
    <mergeCell ref="G84:I84"/>
    <mergeCell ref="C85:D85"/>
    <mergeCell ref="G85:I85"/>
    <mergeCell ref="M15:M16"/>
    <mergeCell ref="C79:D79"/>
    <mergeCell ref="G79:I79"/>
    <mergeCell ref="C80:D80"/>
    <mergeCell ref="C81:D81"/>
    <mergeCell ref="G81:I81"/>
    <mergeCell ref="G15:G16"/>
    <mergeCell ref="H15:H16"/>
    <mergeCell ref="I15:I16"/>
    <mergeCell ref="J15:J16"/>
    <mergeCell ref="K15:K16"/>
    <mergeCell ref="L15:L16"/>
  </mergeCells>
  <pageMargins left="0.7" right="0.7" top="0.75" bottom="0.75" header="0.3" footer="0.3"/>
  <pageSetup paperSize="9" scale="5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6860-C163-4AC0-832A-201CDDB25161}">
  <dimension ref="A1:C10"/>
  <sheetViews>
    <sheetView workbookViewId="0">
      <selection activeCell="R54" sqref="R54"/>
    </sheetView>
  </sheetViews>
  <sheetFormatPr defaultRowHeight="14.4"/>
  <cols>
    <col min="1" max="1" width="20" bestFit="1" customWidth="1"/>
    <col min="2" max="3" width="10.109375" style="1" bestFit="1" customWidth="1"/>
  </cols>
  <sheetData>
    <row r="1" spans="1:3">
      <c r="A1" s="26" t="s">
        <v>40</v>
      </c>
      <c r="B1" s="28">
        <v>20775</v>
      </c>
      <c r="C1" s="1">
        <v>21735</v>
      </c>
    </row>
    <row r="2" spans="1:3">
      <c r="A2" s="26" t="s">
        <v>41</v>
      </c>
      <c r="B2" s="28"/>
    </row>
    <row r="3" spans="1:3">
      <c r="A3" s="26" t="s">
        <v>7</v>
      </c>
      <c r="B3" s="28">
        <v>20775</v>
      </c>
      <c r="C3" s="1">
        <v>21735</v>
      </c>
    </row>
    <row r="4" spans="1:3">
      <c r="A4" s="26" t="s">
        <v>42</v>
      </c>
      <c r="B4" s="28">
        <v>866.07</v>
      </c>
      <c r="C4" s="1">
        <v>1435.27</v>
      </c>
    </row>
    <row r="5" spans="1:3">
      <c r="A5" s="26" t="s">
        <v>43</v>
      </c>
      <c r="B5" s="28">
        <v>103.93</v>
      </c>
      <c r="C5" s="1">
        <v>287.06</v>
      </c>
    </row>
    <row r="6" spans="1:3">
      <c r="A6" s="26" t="s">
        <v>44</v>
      </c>
      <c r="B6" s="28"/>
    </row>
    <row r="7" spans="1:3">
      <c r="A7" s="26" t="s">
        <v>3</v>
      </c>
      <c r="B7" s="28">
        <f>B3-B4-B5</f>
        <v>19805</v>
      </c>
      <c r="C7" s="1">
        <f>C3-C4-C5</f>
        <v>20012.669999999998</v>
      </c>
    </row>
    <row r="8" spans="1:3">
      <c r="A8" s="26" t="s">
        <v>45</v>
      </c>
      <c r="B8" s="28">
        <f>(B7/1.12)*0.12</f>
        <v>2121.9642857142858</v>
      </c>
      <c r="C8" s="28">
        <f>(C7/1.12)*0.12</f>
        <v>2144.2146428571427</v>
      </c>
    </row>
    <row r="9" spans="1:3">
      <c r="A9" s="26" t="s">
        <v>42</v>
      </c>
      <c r="B9" s="28">
        <f>B4</f>
        <v>866.07</v>
      </c>
      <c r="C9" s="28">
        <f>C4</f>
        <v>1435.27</v>
      </c>
    </row>
    <row r="10" spans="1:3">
      <c r="A10" s="27" t="s">
        <v>46</v>
      </c>
      <c r="B10" s="29">
        <f>B7-B8+B9</f>
        <v>18549.105714285713</v>
      </c>
      <c r="C10" s="29">
        <f>C7-C8+C9</f>
        <v>19303.725357142856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REPORT FORM</vt:lpstr>
      <vt:lpstr>SALES REPORT FORM (3)</vt:lpstr>
      <vt:lpstr>SALES REPORT FORM (2)</vt:lpstr>
      <vt:lpstr>SALES REPORT FORM (4)</vt:lpstr>
      <vt:lpstr>Sample</vt:lpstr>
      <vt:lpstr>Sample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Ruby Ann Valdez</dc:creator>
  <cp:keywords/>
  <dc:description/>
  <cp:lastModifiedBy>Mantilla, Dexter</cp:lastModifiedBy>
  <cp:revision/>
  <dcterms:created xsi:type="dcterms:W3CDTF">2019-07-03T01:41:00Z</dcterms:created>
  <dcterms:modified xsi:type="dcterms:W3CDTF">2026-02-12T05:52:50Z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7874A7152ADA47528E6C1FBA33A5AFFC</vt:lpwstr>
  </property>
  <property fmtid="{D5CDD505-2E9C-101B-9397-08002B2CF9AE}" pid="3" name="KSOProductBuildVer">
    <vt:lpwstr>1033-11.2.0.10351</vt:lpwstr>
  </property>
</Properties>
</file>